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ẩn thi đấu" sheetId="1" r:id="rId5"/>
  </sheets>
  <definedNames/>
  <calcPr/>
</workbook>
</file>

<file path=xl/sharedStrings.xml><?xml version="1.0" encoding="utf-8"?>
<sst xmlns="http://schemas.openxmlformats.org/spreadsheetml/2006/main" count="197" uniqueCount="102">
  <si>
    <t>Bảng A - Sân VIP</t>
  </si>
  <si>
    <t>Bảng C - Sân 4</t>
  </si>
  <si>
    <t>MÃ</t>
  </si>
  <si>
    <t>CẶP VĐV</t>
  </si>
  <si>
    <t>Điểm</t>
  </si>
  <si>
    <t>Hiệu số</t>
  </si>
  <si>
    <t>Tổng điểm</t>
  </si>
  <si>
    <t>HS tổng</t>
  </si>
  <si>
    <t>XH</t>
  </si>
  <si>
    <t>A1</t>
  </si>
  <si>
    <t>Trần Việt Tùng - Nguyễn Lâm Trường</t>
  </si>
  <si>
    <t>C1</t>
  </si>
  <si>
    <t>Nguyễn Tuấn Sơn - Hà Vũ Đức Anh</t>
  </si>
  <si>
    <t>A2</t>
  </si>
  <si>
    <t>Nguyễn Hoàng Minh Hiền - Nguyễn Đức Kiên</t>
  </si>
  <si>
    <t>C2</t>
  </si>
  <si>
    <t>Doãn Hữu Thắng - Hoan Nguyên</t>
  </si>
  <si>
    <t>A3</t>
  </si>
  <si>
    <t>Trần Tuấn Hiệp - Hoàng Quang Vinh</t>
  </si>
  <si>
    <t>C3</t>
  </si>
  <si>
    <t>Nguyễn Văn Hải - Hoàng Trần Xuân Sơn</t>
  </si>
  <si>
    <t>A4</t>
  </si>
  <si>
    <t>Nguyễn Hữu Tuấn Duy - Nguyễn Thị Thùy Dương</t>
  </si>
  <si>
    <t>C4</t>
  </si>
  <si>
    <t>Dương Viết Đức - Phan Hương Trà</t>
  </si>
  <si>
    <t>A5</t>
  </si>
  <si>
    <t>C5</t>
  </si>
  <si>
    <t>Trận</t>
  </si>
  <si>
    <t>Cặp đấu</t>
  </si>
  <si>
    <t>Cặp vdv</t>
  </si>
  <si>
    <t>Tỉ số</t>
  </si>
  <si>
    <t>1 vs 2</t>
  </si>
  <si>
    <t>-</t>
  </si>
  <si>
    <t>3 vs 4</t>
  </si>
  <si>
    <t>2 vs 4</t>
  </si>
  <si>
    <t>1 vs 3</t>
  </si>
  <si>
    <t>1 vs 4</t>
  </si>
  <si>
    <t>2 vs 3</t>
  </si>
  <si>
    <t xml:space="preserve"> </t>
  </si>
  <si>
    <t>Nhất A3</t>
  </si>
  <si>
    <t>Nhất C1</t>
  </si>
  <si>
    <t>Nhì A4</t>
  </si>
  <si>
    <t>Nhì C4</t>
  </si>
  <si>
    <t>Bảng B - Sân Pro 1</t>
  </si>
  <si>
    <t>Bảng D - Sân Pro 2</t>
  </si>
  <si>
    <t>B1</t>
  </si>
  <si>
    <t>Tăng khánh Thiện - Nguyễn Ngọc Tuấn</t>
  </si>
  <si>
    <t>D1</t>
  </si>
  <si>
    <t>Nguyễn Huy Hoàng - Nguyễn Viết Chính</t>
  </si>
  <si>
    <t>B2</t>
  </si>
  <si>
    <t>Phan Hoàng Anh - Nguyễn Mạnh Thắng (12)</t>
  </si>
  <si>
    <t>D2</t>
  </si>
  <si>
    <t>Đinh Anh Tiến - Trần Đức Nhân</t>
  </si>
  <si>
    <t>B3</t>
  </si>
  <si>
    <t>Bùi Minh Đức - Vũ Hồng Ngọc</t>
  </si>
  <si>
    <t>D3</t>
  </si>
  <si>
    <t>Nguyễn Mạnh Thắng (8) - Hà Thị Hiên</t>
  </si>
  <si>
    <t>B4</t>
  </si>
  <si>
    <t>Nguyễn Thị Phương Thảo - Nguyễn Lê Anh</t>
  </si>
  <si>
    <t>D4</t>
  </si>
  <si>
    <t>Nguyễn Thị Thu Phương - Bùi Tăng Bảo Ngọc</t>
  </si>
  <si>
    <t>B5</t>
  </si>
  <si>
    <t>D5</t>
  </si>
  <si>
    <t>Nguyễn Đức Xuân Bình - Nguyễn Bích Ngọc</t>
  </si>
  <si>
    <t>1 vs 5</t>
  </si>
  <si>
    <t>3 vs 5</t>
  </si>
  <si>
    <t>2 vs 5</t>
  </si>
  <si>
    <t>4 vs 5</t>
  </si>
  <si>
    <t>Nhất B1</t>
  </si>
  <si>
    <t>Nhất D1</t>
  </si>
  <si>
    <t>Nhì B4</t>
  </si>
  <si>
    <t>Nhì D5</t>
  </si>
  <si>
    <t>Thể lệ</t>
  </si>
  <si>
    <t>Vòng bảng, tứ kết đánh séc 11, cách 2, chạm 13</t>
  </si>
  <si>
    <t>4 đội có thành tích thấp nhất/4 bảng</t>
  </si>
  <si>
    <t>A1. Trần Việt Tùng - Nguyễn Lâm Trường (0/-8)</t>
  </si>
  <si>
    <t>Bán kết đánh séc 15, cách 2, chạm 17</t>
  </si>
  <si>
    <t>B3. Bùi Minh Đức - Vũ Hồng Ngọc (1/-18)</t>
  </si>
  <si>
    <t>Cách tính: Điểm trận thắng - hiệu số - đối đầu - bốc thăm</t>
  </si>
  <si>
    <t>C2. Doãn Hữu Thắng - Hoan Nguyên (0/-18)</t>
  </si>
  <si>
    <t>D4. Nguyễn Thị Thu Phương - Bùi Tăng Bảo Ngọc (1/-14)</t>
  </si>
  <si>
    <t>Tứ Kết</t>
  </si>
  <si>
    <t>Nhất A3. Trần Tuấn Hiệp - Hoàng Quang Vinh</t>
  </si>
  <si>
    <t>Bán kết</t>
  </si>
  <si>
    <t>Chung kết</t>
  </si>
  <si>
    <t>Sân 4</t>
  </si>
  <si>
    <t>Nhì C4. Dương Viết Đức - Phan Hương Trà</t>
  </si>
  <si>
    <t>Sân Vip</t>
  </si>
  <si>
    <t>Nhất B1. Tăng khánh Thiện - Nguyễn Ngọc Tuấn</t>
  </si>
  <si>
    <t>Sân Pro 1</t>
  </si>
  <si>
    <t>Nhì D5. Nguyễn Đức Xuân Bình - Nguyễn Bích Ngọc</t>
  </si>
  <si>
    <t>sân Vip</t>
  </si>
  <si>
    <t xml:space="preserve">TỔNG KẾT </t>
  </si>
  <si>
    <t>Nhất</t>
  </si>
  <si>
    <t>Nhì</t>
  </si>
  <si>
    <t xml:space="preserve">Ba </t>
  </si>
  <si>
    <t>Nhất C1. Nguyễn Tuấn Sơn - Hà Vũ Đức Anh</t>
  </si>
  <si>
    <t>Nhì A4. Nguyễn Hữu Tuấn Duy - Nguyễn Thị Thùy Dương</t>
  </si>
  <si>
    <t>Sân Pro 2</t>
  </si>
  <si>
    <t>Nhất D1. Nguyễn Huy Hoàng - Nguyễn Viết Chính</t>
  </si>
  <si>
    <t>Nhì B4. Nguyễn Thị Phương Thảo - Nguyễn Lê Anh</t>
  </si>
  <si>
    <t>Tranh Ba,Tư - Sân Pro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</si>
</sst>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21.0"/>
      <color theme="1"/>
      <name val="Arial"/>
    </font>
    <font/>
    <font>
      <b/>
      <sz val="12.0"/>
      <color theme="1"/>
      <name val="Arial"/>
    </font>
    <font>
      <b/>
      <color theme="1"/>
      <name val="Arial"/>
    </font>
    <font>
      <b/>
      <color theme="1"/>
      <name val="&quot;Arial&quot;"/>
    </font>
    <font>
      <color theme="1"/>
      <name val="Arial"/>
    </font>
    <font>
      <b/>
      <sz val="15.0"/>
      <color theme="1"/>
      <name val="Arial"/>
    </font>
    <font>
      <b/>
      <sz val="14.0"/>
      <color theme="1"/>
      <name val="Arial"/>
    </font>
    <font>
      <b/>
      <color theme="1"/>
      <name val="Arial"/>
      <scheme val="minor"/>
    </font>
    <font>
      <b/>
      <sz val="13.0"/>
      <color theme="1"/>
      <name val="Arial"/>
    </font>
    <font>
      <b/>
      <sz val="20.0"/>
      <color theme="1"/>
      <name val="Arial"/>
    </font>
    <font>
      <b/>
      <sz val="12.0"/>
      <color rgb="FFFF00FF"/>
      <name val="Arial"/>
    </font>
    <font>
      <b/>
      <sz val="12.0"/>
      <color rgb="FFFF0000"/>
      <name val="Arial"/>
    </font>
    <font>
      <b/>
      <sz val="12.0"/>
      <color rgb="FF4A86E8"/>
      <name val="Arial"/>
    </font>
    <font>
      <b/>
      <sz val="13.0"/>
      <color rgb="FFFF00FF"/>
      <name val="Arial"/>
    </font>
    <font>
      <b/>
      <sz val="13.0"/>
      <color rgb="FFFF0000"/>
      <name val="Arial"/>
    </font>
    <font>
      <b/>
      <sz val="13.0"/>
      <color rgb="FF4A86E8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sz val="17.0"/>
      <color theme="1"/>
      <name val="Arial"/>
      <scheme val="minor"/>
    </font>
    <font>
      <sz val="18.0"/>
      <color theme="1"/>
      <name val="Arial"/>
      <scheme val="minor"/>
    </font>
    <font>
      <sz val="14.0"/>
      <color theme="1"/>
      <name val="Arial"/>
      <scheme val="minor"/>
    </font>
    <font>
      <sz val="25.0"/>
      <color theme="1"/>
      <name val="Arial"/>
      <scheme val="minor"/>
    </font>
    <font>
      <sz val="20.0"/>
      <color theme="1"/>
      <name val="Arial"/>
    </font>
    <font>
      <sz val="20.0"/>
      <color theme="1"/>
      <name val="Arial"/>
      <scheme val="minor"/>
    </font>
    <font>
      <b/>
      <sz val="16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5" fontId="3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/>
    </xf>
    <xf borderId="4" fillId="6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7" fontId="3" numFmtId="0" xfId="0" applyAlignment="1" applyBorder="1" applyFill="1" applyFont="1">
      <alignment horizontal="center" readingOrder="0"/>
    </xf>
    <xf borderId="4" fillId="7" fontId="3" numFmtId="0" xfId="0" applyAlignment="1" applyBorder="1" applyFont="1">
      <alignment horizontal="center"/>
    </xf>
    <xf borderId="4" fillId="5" fontId="4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/>
    </xf>
    <xf borderId="4" fillId="5" fontId="5" numFmtId="0" xfId="0" applyAlignment="1" applyBorder="1" applyFont="1">
      <alignment horizontal="center" readingOrder="0"/>
    </xf>
    <xf borderId="0" fillId="0" fontId="6" numFmtId="0" xfId="0" applyFont="1"/>
    <xf borderId="4" fillId="2" fontId="3" numFmtId="0" xfId="0" applyAlignment="1" applyBorder="1" applyFont="1">
      <alignment horizontal="center"/>
    </xf>
    <xf borderId="4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2" fontId="8" numFmtId="0" xfId="0" applyAlignment="1" applyBorder="1" applyFont="1">
      <alignment horizontal="center"/>
    </xf>
    <xf borderId="6" fillId="0" fontId="2" numFmtId="0" xfId="0" applyBorder="1" applyFont="1"/>
    <xf borderId="4" fillId="3" fontId="3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5" fillId="3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7" fillId="0" fontId="2" numFmtId="0" xfId="0" applyBorder="1" applyFont="1"/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1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3" fontId="11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4" fillId="10" fontId="3" numFmtId="0" xfId="0" applyAlignment="1" applyBorder="1" applyFill="1" applyFont="1">
      <alignment horizontal="center"/>
    </xf>
    <xf borderId="4" fillId="11" fontId="3" numFmtId="0" xfId="0" applyAlignment="1" applyBorder="1" applyFill="1" applyFont="1">
      <alignment horizontal="center" readingOrder="0"/>
    </xf>
    <xf borderId="4" fillId="11" fontId="3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4" fillId="12" fontId="3" numFmtId="0" xfId="0" applyAlignment="1" applyBorder="1" applyFill="1" applyFont="1">
      <alignment horizontal="center" readingOrder="0"/>
    </xf>
    <xf borderId="4" fillId="12" fontId="12" numFmtId="0" xfId="0" applyAlignment="1" applyBorder="1" applyFont="1">
      <alignment horizontal="center" readingOrder="0"/>
    </xf>
    <xf borderId="4" fillId="12" fontId="13" numFmtId="0" xfId="0" applyAlignment="1" applyBorder="1" applyFont="1">
      <alignment horizontal="center" readingOrder="0"/>
    </xf>
    <xf borderId="4" fillId="12" fontId="14" numFmtId="0" xfId="0" applyAlignment="1" applyBorder="1" applyFont="1">
      <alignment horizontal="center" readingOrder="0"/>
    </xf>
    <xf borderId="4" fillId="12" fontId="3" numFmtId="0" xfId="0" applyAlignment="1" applyBorder="1" applyFont="1">
      <alignment horizontal="center"/>
    </xf>
    <xf borderId="4" fillId="10" fontId="5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4" fillId="10" fontId="3" numFmtId="0" xfId="0" applyAlignment="1" applyBorder="1" applyFont="1">
      <alignment horizontal="center" readingOrder="0"/>
    </xf>
    <xf borderId="4" fillId="10" fontId="4" numFmtId="0" xfId="0" applyAlignment="1" applyBorder="1" applyFont="1">
      <alignment horizontal="center"/>
    </xf>
    <xf borderId="4" fillId="8" fontId="3" numFmtId="0" xfId="0" applyAlignment="1" applyBorder="1" applyFont="1">
      <alignment horizontal="center"/>
    </xf>
    <xf borderId="4" fillId="8" fontId="7" numFmtId="0" xfId="0" applyAlignment="1" applyBorder="1" applyFont="1">
      <alignment horizontal="center"/>
    </xf>
    <xf borderId="1" fillId="8" fontId="7" numFmtId="0" xfId="0" applyAlignment="1" applyBorder="1" applyFont="1">
      <alignment horizontal="center"/>
    </xf>
    <xf borderId="5" fillId="8" fontId="8" numFmtId="0" xfId="0" applyAlignment="1" applyBorder="1" applyFont="1">
      <alignment horizontal="center"/>
    </xf>
    <xf borderId="4" fillId="9" fontId="3" numFmtId="0" xfId="0" applyAlignment="1" applyBorder="1" applyFont="1">
      <alignment horizontal="center"/>
    </xf>
    <xf borderId="4" fillId="9" fontId="7" numFmtId="0" xfId="0" applyAlignment="1" applyBorder="1" applyFont="1">
      <alignment horizontal="center"/>
    </xf>
    <xf borderId="1" fillId="9" fontId="7" numFmtId="0" xfId="0" applyAlignment="1" applyBorder="1" applyFont="1">
      <alignment horizontal="center"/>
    </xf>
    <xf borderId="5" fillId="9" fontId="8" numFmtId="0" xfId="0" applyAlignment="1" applyBorder="1" applyFont="1">
      <alignment horizontal="center"/>
    </xf>
    <xf borderId="4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8" fontId="1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9" fontId="11" numFmtId="0" xfId="0" applyAlignment="1" applyBorder="1" applyFont="1">
      <alignment horizontal="center" readingOrder="0"/>
    </xf>
    <xf borderId="4" fillId="13" fontId="18" numFmtId="0" xfId="0" applyAlignment="1" applyBorder="1" applyFill="1" applyFont="1">
      <alignment readingOrder="0"/>
    </xf>
    <xf borderId="13" fillId="14" fontId="19" numFmtId="0" xfId="0" applyAlignment="1" applyBorder="1" applyFill="1" applyFont="1">
      <alignment readingOrder="0"/>
    </xf>
    <xf borderId="5" fillId="15" fontId="20" numFmtId="0" xfId="0" applyAlignment="1" applyBorder="1" applyFill="1" applyFont="1">
      <alignment horizontal="center" readingOrder="0" vertical="center"/>
    </xf>
    <xf borderId="1" fillId="15" fontId="21" numFmtId="0" xfId="0" applyAlignment="1" applyBorder="1" applyFont="1">
      <alignment horizontal="left" readingOrder="0" vertical="center"/>
    </xf>
    <xf borderId="8" fillId="0" fontId="22" numFmtId="0" xfId="0" applyAlignment="1" applyBorder="1" applyFont="1">
      <alignment horizontal="left" readingOrder="0" vertical="center"/>
    </xf>
    <xf borderId="0" fillId="0" fontId="22" numFmtId="0" xfId="0" applyAlignment="1" applyFont="1">
      <alignment horizontal="left" readingOrder="0" vertical="center"/>
    </xf>
    <xf borderId="14" fillId="14" fontId="19" numFmtId="0" xfId="0" applyAlignment="1" applyBorder="1" applyFont="1">
      <alignment readingOrder="0"/>
    </xf>
    <xf borderId="15" fillId="14" fontId="19" numFmtId="0" xfId="0" applyAlignment="1" applyBorder="1" applyFont="1">
      <alignment readingOrder="0"/>
    </xf>
    <xf borderId="1" fillId="15" fontId="23" numFmtId="0" xfId="0" applyAlignment="1" applyBorder="1" applyFont="1">
      <alignment horizontal="left" readingOrder="0" vertical="center"/>
    </xf>
    <xf borderId="0" fillId="0" fontId="6" numFmtId="0" xfId="0" applyAlignment="1" applyFont="1">
      <alignment vertical="bottom"/>
    </xf>
    <xf borderId="5" fillId="0" fontId="18" numFmtId="0" xfId="0" applyBorder="1" applyFont="1"/>
    <xf borderId="6" fillId="0" fontId="18" numFmtId="0" xfId="0" applyBorder="1" applyFont="1"/>
    <xf borderId="7" fillId="0" fontId="18" numFmtId="0" xfId="0" applyBorder="1" applyFont="1"/>
    <xf borderId="8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5" fillId="16" fontId="11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3" fillId="0" fontId="24" numFmtId="0" xfId="0" applyAlignment="1" applyBorder="1" applyFont="1">
      <alignment horizontal="center" readingOrder="0" vertical="center"/>
    </xf>
    <xf borderId="5" fillId="11" fontId="11" numFmtId="0" xfId="0" applyAlignment="1" applyBorder="1" applyFont="1">
      <alignment horizontal="left" readingOrder="0" vertical="center"/>
    </xf>
    <xf borderId="0" fillId="0" fontId="25" numFmtId="0" xfId="0" applyAlignment="1" applyFont="1">
      <alignment horizontal="left" vertical="center"/>
    </xf>
    <xf borderId="14" fillId="0" fontId="2" numFmtId="0" xfId="0" applyBorder="1" applyFont="1"/>
    <xf borderId="0" fillId="0" fontId="26" numFmtId="0" xfId="0" applyFont="1"/>
    <xf borderId="1" fillId="9" fontId="11" numFmtId="0" xfId="0" applyAlignment="1" applyBorder="1" applyFont="1">
      <alignment horizontal="center" vertical="center"/>
    </xf>
    <xf borderId="5" fillId="17" fontId="27" numFmtId="0" xfId="0" applyAlignment="1" applyBorder="1" applyFill="1" applyFont="1">
      <alignment horizontal="center" vertical="center"/>
    </xf>
    <xf borderId="8" fillId="0" fontId="25" numFmtId="0" xfId="0" applyAlignment="1" applyBorder="1" applyFont="1">
      <alignment horizontal="left" vertical="center"/>
    </xf>
    <xf borderId="5" fillId="18" fontId="11" numFmtId="0" xfId="0" applyAlignment="1" applyBorder="1" applyFill="1" applyFont="1">
      <alignment horizontal="center" readingOrder="0" vertical="center"/>
    </xf>
    <xf borderId="0" fillId="0" fontId="26" numFmtId="0" xfId="0" applyAlignment="1" applyFont="1">
      <alignment horizontal="left" vertical="center"/>
    </xf>
    <xf borderId="5" fillId="6" fontId="11" numFmtId="0" xfId="0" applyAlignment="1" applyBorder="1" applyFont="1">
      <alignment horizontal="center" readingOrder="0" vertical="center"/>
    </xf>
    <xf borderId="15" fillId="0" fontId="2" numFmtId="0" xfId="0" applyBorder="1" applyFont="1"/>
    <xf borderId="5" fillId="19" fontId="11" numFmtId="0" xfId="0" applyAlignment="1" applyBorder="1" applyFill="1" applyFont="1">
      <alignment horizontal="left" readingOrder="0" vertical="center"/>
    </xf>
    <xf borderId="5" fillId="6" fontId="25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9" fillId="0" fontId="18" numFmtId="0" xfId="0" applyBorder="1" applyFont="1"/>
    <xf borderId="8" fillId="0" fontId="11" numFmtId="0" xfId="0" applyAlignment="1" applyBorder="1" applyFont="1">
      <alignment horizontal="left" vertical="center"/>
    </xf>
    <xf borderId="5" fillId="6" fontId="11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0" fontId="18" numFmtId="0" xfId="0" applyBorder="1" applyFont="1"/>
    <xf borderId="12" fillId="0" fontId="18" numFmtId="0" xfId="0" applyBorder="1" applyFont="1"/>
    <xf borderId="5" fillId="12" fontId="11" numFmtId="0" xfId="0" applyAlignment="1" applyBorder="1" applyFont="1">
      <alignment horizontal="center" readingOrder="0" vertical="center"/>
    </xf>
    <xf borderId="5" fillId="4" fontId="11" numFmtId="0" xfId="0" applyAlignment="1" applyBorder="1" applyFont="1">
      <alignment horizontal="left" readingOrder="0" vertical="center"/>
    </xf>
    <xf borderId="11" fillId="0" fontId="18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5" fillId="20" fontId="11" numFmtId="0" xfId="0" applyAlignment="1" applyBorder="1" applyFill="1" applyFont="1">
      <alignment horizontal="center" readingOrder="0" vertical="center"/>
    </xf>
    <xf borderId="0" fillId="20" fontId="26" numFmtId="0" xfId="0" applyAlignment="1" applyFon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0.13"/>
    <col customWidth="1" min="3" max="3" width="59.38"/>
    <col customWidth="1" min="4" max="7" width="10.63"/>
    <col customWidth="1" min="8" max="11" width="10.75"/>
    <col customWidth="1" min="12" max="12" width="11.5"/>
    <col customWidth="1" min="13" max="13" width="9.63"/>
    <col customWidth="1" min="14" max="14" width="7.63"/>
    <col customWidth="1" min="16" max="16" width="12.13"/>
    <col customWidth="1" min="17" max="17" width="9.0"/>
    <col customWidth="1" min="18" max="18" width="10.13"/>
    <col customWidth="1" min="19" max="19" width="52.25"/>
    <col customWidth="1" min="20" max="23" width="10.75"/>
    <col customWidth="1" min="24" max="27" width="10.5"/>
    <col customWidth="1" min="28" max="28" width="9.63"/>
    <col customWidth="1" min="29" max="29" width="9.38"/>
    <col customWidth="1" min="30" max="30" width="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25.5" customHeight="1">
      <c r="A2" s="5" t="s">
        <v>2</v>
      </c>
      <c r="B2" s="6" t="s">
        <v>3</v>
      </c>
      <c r="C2" s="3"/>
      <c r="D2" s="6" t="s">
        <v>4</v>
      </c>
      <c r="E2" s="2"/>
      <c r="F2" s="2"/>
      <c r="G2" s="3"/>
      <c r="H2" s="6" t="s">
        <v>5</v>
      </c>
      <c r="I2" s="2"/>
      <c r="J2" s="2"/>
      <c r="K2" s="3"/>
      <c r="L2" s="5" t="s">
        <v>6</v>
      </c>
      <c r="M2" s="5" t="s">
        <v>7</v>
      </c>
      <c r="N2" s="7" t="s">
        <v>8</v>
      </c>
      <c r="Q2" s="5" t="s">
        <v>2</v>
      </c>
      <c r="R2" s="6" t="s">
        <v>3</v>
      </c>
      <c r="S2" s="3"/>
      <c r="T2" s="6" t="s">
        <v>4</v>
      </c>
      <c r="U2" s="2"/>
      <c r="V2" s="2"/>
      <c r="W2" s="3"/>
      <c r="X2" s="6" t="s">
        <v>5</v>
      </c>
      <c r="Y2" s="2"/>
      <c r="Z2" s="2"/>
      <c r="AA2" s="3"/>
      <c r="AB2" s="5" t="s">
        <v>6</v>
      </c>
      <c r="AC2" s="5" t="s">
        <v>7</v>
      </c>
      <c r="AD2" s="7" t="s">
        <v>8</v>
      </c>
    </row>
    <row r="3" ht="24.0" customHeight="1">
      <c r="A3" s="8" t="s">
        <v>9</v>
      </c>
      <c r="B3" s="9" t="s">
        <v>10</v>
      </c>
      <c r="C3" s="3"/>
      <c r="D3" s="10">
        <v>0.0</v>
      </c>
      <c r="E3" s="10">
        <v>0.0</v>
      </c>
      <c r="F3" s="10">
        <v>0.0</v>
      </c>
      <c r="G3" s="11"/>
      <c r="H3" s="12">
        <v>-2.0</v>
      </c>
      <c r="I3" s="12">
        <v>-4.0</v>
      </c>
      <c r="J3" s="12">
        <v>-2.0</v>
      </c>
      <c r="K3" s="11"/>
      <c r="L3" s="13">
        <f t="shared" ref="L3:L7" si="1">+D3+E3+F3+G3</f>
        <v>0</v>
      </c>
      <c r="M3" s="14">
        <f t="shared" ref="M3:M7" si="2">+H3+I3+J3+K3</f>
        <v>-8</v>
      </c>
      <c r="N3" s="15">
        <v>4.0</v>
      </c>
      <c r="Q3" s="16" t="s">
        <v>11</v>
      </c>
      <c r="R3" s="9" t="s">
        <v>12</v>
      </c>
      <c r="S3" s="3"/>
      <c r="T3" s="10">
        <v>1.0</v>
      </c>
      <c r="U3" s="10">
        <v>1.0</v>
      </c>
      <c r="V3" s="10">
        <v>1.0</v>
      </c>
      <c r="W3" s="11"/>
      <c r="X3" s="17">
        <v>7.0</v>
      </c>
      <c r="Y3" s="17">
        <v>9.0</v>
      </c>
      <c r="Z3" s="17">
        <v>2.0</v>
      </c>
      <c r="AA3" s="11"/>
      <c r="AB3" s="13">
        <f t="shared" ref="AB3:AB7" si="3">+T3+U3+V3+W3</f>
        <v>3</v>
      </c>
      <c r="AC3" s="18">
        <f t="shared" ref="AC3:AC7" si="4">+X3+Y3+Z3+AA3</f>
        <v>18</v>
      </c>
      <c r="AD3" s="15">
        <v>1.0</v>
      </c>
    </row>
    <row r="4" ht="24.0" customHeight="1">
      <c r="A4" s="8" t="s">
        <v>13</v>
      </c>
      <c r="B4" s="9" t="s">
        <v>14</v>
      </c>
      <c r="C4" s="3"/>
      <c r="D4" s="10">
        <v>1.0</v>
      </c>
      <c r="E4" s="10">
        <v>0.0</v>
      </c>
      <c r="F4" s="10">
        <v>0.0</v>
      </c>
      <c r="G4" s="11"/>
      <c r="H4" s="12">
        <v>2.0</v>
      </c>
      <c r="I4" s="12">
        <v>-5.0</v>
      </c>
      <c r="J4" s="12">
        <v>-7.0</v>
      </c>
      <c r="K4" s="11"/>
      <c r="L4" s="13">
        <f t="shared" si="1"/>
        <v>1</v>
      </c>
      <c r="M4" s="14">
        <f t="shared" si="2"/>
        <v>-10</v>
      </c>
      <c r="N4" s="15">
        <v>3.0</v>
      </c>
      <c r="Q4" s="16" t="s">
        <v>15</v>
      </c>
      <c r="R4" s="9" t="s">
        <v>16</v>
      </c>
      <c r="S4" s="3"/>
      <c r="T4" s="10">
        <v>0.0</v>
      </c>
      <c r="U4" s="10">
        <v>0.0</v>
      </c>
      <c r="V4" s="10">
        <v>0.0</v>
      </c>
      <c r="W4" s="11"/>
      <c r="X4" s="17">
        <v>-7.0</v>
      </c>
      <c r="Y4" s="17">
        <v>-5.0</v>
      </c>
      <c r="Z4" s="17">
        <v>-6.0</v>
      </c>
      <c r="AA4" s="11"/>
      <c r="AB4" s="13">
        <f t="shared" si="3"/>
        <v>0</v>
      </c>
      <c r="AC4" s="18">
        <f t="shared" si="4"/>
        <v>-18</v>
      </c>
      <c r="AD4" s="15">
        <v>4.0</v>
      </c>
    </row>
    <row r="5" ht="24.0" customHeight="1">
      <c r="A5" s="8" t="s">
        <v>17</v>
      </c>
      <c r="B5" s="9" t="s">
        <v>18</v>
      </c>
      <c r="C5" s="3"/>
      <c r="D5" s="10">
        <v>1.0</v>
      </c>
      <c r="E5" s="10">
        <v>1.0</v>
      </c>
      <c r="F5" s="10">
        <v>1.0</v>
      </c>
      <c r="G5" s="11"/>
      <c r="H5" s="12">
        <v>3.0</v>
      </c>
      <c r="I5" s="12">
        <v>4.0</v>
      </c>
      <c r="J5" s="12">
        <v>7.0</v>
      </c>
      <c r="K5" s="11"/>
      <c r="L5" s="13">
        <f t="shared" si="1"/>
        <v>3</v>
      </c>
      <c r="M5" s="14">
        <f t="shared" si="2"/>
        <v>14</v>
      </c>
      <c r="N5" s="15">
        <v>1.0</v>
      </c>
      <c r="Q5" s="16" t="s">
        <v>19</v>
      </c>
      <c r="R5" s="9" t="s">
        <v>20</v>
      </c>
      <c r="S5" s="3"/>
      <c r="T5" s="10">
        <v>0.0</v>
      </c>
      <c r="U5" s="10">
        <v>0.0</v>
      </c>
      <c r="V5" s="10">
        <v>1.0</v>
      </c>
      <c r="W5" s="11"/>
      <c r="X5" s="17">
        <v>-8.0</v>
      </c>
      <c r="Y5" s="17">
        <v>-9.0</v>
      </c>
      <c r="Z5" s="17">
        <v>6.0</v>
      </c>
      <c r="AA5" s="11"/>
      <c r="AB5" s="13">
        <f t="shared" si="3"/>
        <v>1</v>
      </c>
      <c r="AC5" s="18">
        <f t="shared" si="4"/>
        <v>-11</v>
      </c>
      <c r="AD5" s="15">
        <v>3.0</v>
      </c>
    </row>
    <row r="6" ht="24.0" customHeight="1">
      <c r="A6" s="8" t="s">
        <v>21</v>
      </c>
      <c r="B6" s="9" t="s">
        <v>22</v>
      </c>
      <c r="C6" s="3"/>
      <c r="D6" s="10">
        <v>0.0</v>
      </c>
      <c r="E6" s="10">
        <v>1.0</v>
      </c>
      <c r="F6" s="10">
        <v>1.0</v>
      </c>
      <c r="G6" s="11"/>
      <c r="H6" s="12">
        <v>-3.0</v>
      </c>
      <c r="I6" s="12">
        <v>5.0</v>
      </c>
      <c r="J6" s="12">
        <v>2.0</v>
      </c>
      <c r="K6" s="11"/>
      <c r="L6" s="13">
        <f t="shared" si="1"/>
        <v>2</v>
      </c>
      <c r="M6" s="14">
        <f t="shared" si="2"/>
        <v>4</v>
      </c>
      <c r="N6" s="15">
        <v>2.0</v>
      </c>
      <c r="Q6" s="16" t="s">
        <v>23</v>
      </c>
      <c r="R6" s="9" t="s">
        <v>24</v>
      </c>
      <c r="S6" s="3"/>
      <c r="T6" s="10">
        <v>1.0</v>
      </c>
      <c r="U6" s="10">
        <v>1.0</v>
      </c>
      <c r="V6" s="10">
        <v>0.0</v>
      </c>
      <c r="W6" s="11"/>
      <c r="X6" s="17">
        <v>8.0</v>
      </c>
      <c r="Y6" s="17">
        <v>5.0</v>
      </c>
      <c r="Z6" s="17">
        <v>-2.0</v>
      </c>
      <c r="AA6" s="11"/>
      <c r="AB6" s="13">
        <f t="shared" si="3"/>
        <v>2</v>
      </c>
      <c r="AC6" s="18">
        <f t="shared" si="4"/>
        <v>11</v>
      </c>
      <c r="AD6" s="15">
        <v>2.0</v>
      </c>
    </row>
    <row r="7" ht="24.0" customHeight="1">
      <c r="A7" s="19" t="s">
        <v>25</v>
      </c>
      <c r="B7" s="20"/>
      <c r="C7" s="3"/>
      <c r="D7" s="11"/>
      <c r="E7" s="11"/>
      <c r="F7" s="11"/>
      <c r="G7" s="11"/>
      <c r="H7" s="11"/>
      <c r="I7" s="11"/>
      <c r="J7" s="11"/>
      <c r="K7" s="11"/>
      <c r="L7" s="11">
        <f t="shared" si="1"/>
        <v>0</v>
      </c>
      <c r="M7" s="11">
        <f t="shared" si="2"/>
        <v>0</v>
      </c>
      <c r="N7" s="21"/>
      <c r="Q7" s="22" t="s">
        <v>26</v>
      </c>
      <c r="R7" s="20"/>
      <c r="S7" s="3"/>
      <c r="T7" s="11"/>
      <c r="U7" s="11"/>
      <c r="V7" s="11"/>
      <c r="W7" s="11"/>
      <c r="X7" s="11"/>
      <c r="Y7" s="11"/>
      <c r="Z7" s="11"/>
      <c r="AA7" s="11"/>
      <c r="AB7" s="11">
        <f t="shared" si="3"/>
        <v>0</v>
      </c>
      <c r="AC7" s="11">
        <f t="shared" si="4"/>
        <v>0</v>
      </c>
      <c r="AD7" s="21"/>
    </row>
    <row r="8">
      <c r="A8" s="23"/>
      <c r="Q8" s="23"/>
    </row>
    <row r="9">
      <c r="A9" s="24" t="s">
        <v>27</v>
      </c>
      <c r="B9" s="25" t="s">
        <v>28</v>
      </c>
      <c r="C9" s="26" t="s">
        <v>29</v>
      </c>
      <c r="D9" s="3"/>
      <c r="E9" s="26" t="s">
        <v>30</v>
      </c>
      <c r="F9" s="2"/>
      <c r="G9" s="2"/>
      <c r="H9" s="27" t="s">
        <v>29</v>
      </c>
      <c r="I9" s="28"/>
      <c r="J9" s="28"/>
      <c r="K9" s="28"/>
      <c r="L9" s="28"/>
      <c r="M9" s="28"/>
      <c r="N9" s="28"/>
      <c r="Q9" s="29" t="s">
        <v>27</v>
      </c>
      <c r="R9" s="30" t="s">
        <v>28</v>
      </c>
      <c r="S9" s="31" t="s">
        <v>29</v>
      </c>
      <c r="T9" s="3"/>
      <c r="U9" s="31" t="s">
        <v>30</v>
      </c>
      <c r="V9" s="2"/>
      <c r="W9" s="2"/>
      <c r="X9" s="32" t="s">
        <v>29</v>
      </c>
      <c r="Y9" s="28"/>
      <c r="Z9" s="28"/>
      <c r="AA9" s="28"/>
      <c r="AB9" s="28"/>
      <c r="AC9" s="28"/>
      <c r="AD9" s="28"/>
    </row>
    <row r="10" ht="34.5" customHeight="1">
      <c r="A10" s="8">
        <v>1.0</v>
      </c>
      <c r="B10" s="33" t="s">
        <v>31</v>
      </c>
      <c r="C10" s="34" t="str">
        <f>B3</f>
        <v>Trần Việt Tùng - Nguyễn Lâm Trường</v>
      </c>
      <c r="D10" s="3"/>
      <c r="E10" s="35">
        <v>10.0</v>
      </c>
      <c r="F10" s="36" t="s">
        <v>32</v>
      </c>
      <c r="G10" s="37">
        <v>12.0</v>
      </c>
      <c r="H10" s="38" t="str">
        <f>B4</f>
        <v>Nguyễn Hoàng Minh Hiền - Nguyễn Đức Kiên</v>
      </c>
      <c r="I10" s="28"/>
      <c r="J10" s="28"/>
      <c r="K10" s="28"/>
      <c r="L10" s="28"/>
      <c r="M10" s="28"/>
      <c r="N10" s="39"/>
      <c r="Q10" s="8">
        <v>1.0</v>
      </c>
      <c r="R10" s="33" t="s">
        <v>31</v>
      </c>
      <c r="S10" s="34" t="str">
        <f>R3</f>
        <v>Nguyễn Tuấn Sơn - Hà Vũ Đức Anh</v>
      </c>
      <c r="T10" s="3"/>
      <c r="U10" s="35">
        <v>11.0</v>
      </c>
      <c r="V10" s="36" t="s">
        <v>32</v>
      </c>
      <c r="W10" s="37">
        <v>4.0</v>
      </c>
      <c r="X10" s="38" t="str">
        <f>R4</f>
        <v>Doãn Hữu Thắng - Hoan Nguyên</v>
      </c>
      <c r="Y10" s="28"/>
      <c r="Z10" s="28"/>
      <c r="AA10" s="28"/>
      <c r="AB10" s="28"/>
      <c r="AC10" s="28"/>
      <c r="AD10" s="39"/>
    </row>
    <row r="11" ht="34.5" customHeight="1">
      <c r="A11" s="8">
        <v>2.0</v>
      </c>
      <c r="B11" s="33" t="s">
        <v>33</v>
      </c>
      <c r="C11" s="34" t="str">
        <f>B5</f>
        <v>Trần Tuấn Hiệp - Hoàng Quang Vinh</v>
      </c>
      <c r="D11" s="3"/>
      <c r="E11" s="35">
        <v>11.0</v>
      </c>
      <c r="F11" s="36" t="s">
        <v>32</v>
      </c>
      <c r="G11" s="37">
        <v>8.0</v>
      </c>
      <c r="H11" s="38" t="str">
        <f>B6</f>
        <v>Nguyễn Hữu Tuấn Duy - Nguyễn Thị Thùy Dương</v>
      </c>
      <c r="I11" s="28"/>
      <c r="J11" s="28"/>
      <c r="K11" s="28"/>
      <c r="L11" s="28"/>
      <c r="M11" s="28"/>
      <c r="N11" s="39"/>
      <c r="Q11" s="8">
        <v>2.0</v>
      </c>
      <c r="R11" s="33" t="s">
        <v>33</v>
      </c>
      <c r="S11" s="34" t="str">
        <f>R5</f>
        <v>Nguyễn Văn Hải - Hoàng Trần Xuân Sơn</v>
      </c>
      <c r="T11" s="3"/>
      <c r="U11" s="35">
        <v>3.0</v>
      </c>
      <c r="V11" s="36" t="s">
        <v>32</v>
      </c>
      <c r="W11" s="37">
        <v>11.0</v>
      </c>
      <c r="X11" s="38" t="str">
        <f>R6</f>
        <v>Dương Viết Đức - Phan Hương Trà</v>
      </c>
      <c r="Y11" s="28"/>
      <c r="Z11" s="28"/>
      <c r="AA11" s="28"/>
      <c r="AB11" s="28"/>
      <c r="AC11" s="28"/>
      <c r="AD11" s="39"/>
    </row>
    <row r="12" ht="34.5" customHeight="1">
      <c r="A12" s="8">
        <v>3.0</v>
      </c>
      <c r="B12" s="33" t="s">
        <v>34</v>
      </c>
      <c r="C12" s="34" t="str">
        <f>B4</f>
        <v>Nguyễn Hoàng Minh Hiền - Nguyễn Đức Kiên</v>
      </c>
      <c r="D12" s="3"/>
      <c r="E12" s="35">
        <v>6.0</v>
      </c>
      <c r="F12" s="36" t="s">
        <v>32</v>
      </c>
      <c r="G12" s="37">
        <v>11.0</v>
      </c>
      <c r="H12" s="38" t="str">
        <f>B6</f>
        <v>Nguyễn Hữu Tuấn Duy - Nguyễn Thị Thùy Dương</v>
      </c>
      <c r="I12" s="28"/>
      <c r="J12" s="28"/>
      <c r="K12" s="28"/>
      <c r="L12" s="28"/>
      <c r="M12" s="28"/>
      <c r="N12" s="39"/>
      <c r="Q12" s="8">
        <v>3.0</v>
      </c>
      <c r="R12" s="33" t="s">
        <v>34</v>
      </c>
      <c r="S12" s="34" t="str">
        <f>R4</f>
        <v>Doãn Hữu Thắng - Hoan Nguyên</v>
      </c>
      <c r="T12" s="3"/>
      <c r="U12" s="35">
        <v>6.0</v>
      </c>
      <c r="V12" s="36" t="s">
        <v>32</v>
      </c>
      <c r="W12" s="37">
        <v>11.0</v>
      </c>
      <c r="X12" s="38" t="str">
        <f>R6</f>
        <v>Dương Viết Đức - Phan Hương Trà</v>
      </c>
      <c r="Y12" s="28"/>
      <c r="Z12" s="28"/>
      <c r="AA12" s="28"/>
      <c r="AB12" s="28"/>
      <c r="AC12" s="28"/>
      <c r="AD12" s="39"/>
    </row>
    <row r="13" ht="34.5" customHeight="1">
      <c r="A13" s="8">
        <v>4.0</v>
      </c>
      <c r="B13" s="33" t="s">
        <v>35</v>
      </c>
      <c r="C13" s="34" t="str">
        <f>B3</f>
        <v>Trần Việt Tùng - Nguyễn Lâm Trường</v>
      </c>
      <c r="D13" s="3"/>
      <c r="E13" s="35">
        <v>7.0</v>
      </c>
      <c r="F13" s="36" t="s">
        <v>32</v>
      </c>
      <c r="G13" s="37">
        <v>11.0</v>
      </c>
      <c r="H13" s="34" t="str">
        <f t="shared" ref="H13:H14" si="5">B5</f>
        <v>Trần Tuấn Hiệp - Hoàng Quang Vinh</v>
      </c>
      <c r="I13" s="2"/>
      <c r="J13" s="2"/>
      <c r="K13" s="2"/>
      <c r="L13" s="2"/>
      <c r="M13" s="2"/>
      <c r="N13" s="3"/>
      <c r="Q13" s="8">
        <v>4.0</v>
      </c>
      <c r="R13" s="33" t="s">
        <v>35</v>
      </c>
      <c r="S13" s="34" t="str">
        <f>R3</f>
        <v>Nguyễn Tuấn Sơn - Hà Vũ Đức Anh</v>
      </c>
      <c r="T13" s="3"/>
      <c r="U13" s="35">
        <v>11.0</v>
      </c>
      <c r="V13" s="36" t="s">
        <v>32</v>
      </c>
      <c r="W13" s="37">
        <v>2.0</v>
      </c>
      <c r="X13" s="34" t="str">
        <f t="shared" ref="X13:X14" si="6">R5</f>
        <v>Nguyễn Văn Hải - Hoàng Trần Xuân Sơn</v>
      </c>
      <c r="Y13" s="2"/>
      <c r="Z13" s="2"/>
      <c r="AA13" s="2"/>
      <c r="AB13" s="2"/>
      <c r="AC13" s="2"/>
      <c r="AD13" s="3"/>
    </row>
    <row r="14" ht="34.5" customHeight="1">
      <c r="A14" s="8">
        <v>5.0</v>
      </c>
      <c r="B14" s="33" t="s">
        <v>36</v>
      </c>
      <c r="C14" s="34" t="str">
        <f t="shared" ref="C14:C15" si="7">B3</f>
        <v>Trần Việt Tùng - Nguyễn Lâm Trường</v>
      </c>
      <c r="D14" s="3"/>
      <c r="E14" s="35">
        <v>9.0</v>
      </c>
      <c r="F14" s="36" t="s">
        <v>32</v>
      </c>
      <c r="G14" s="37">
        <v>11.0</v>
      </c>
      <c r="H14" s="38" t="str">
        <f t="shared" si="5"/>
        <v>Nguyễn Hữu Tuấn Duy - Nguyễn Thị Thùy Dương</v>
      </c>
      <c r="I14" s="28"/>
      <c r="J14" s="28"/>
      <c r="K14" s="28"/>
      <c r="L14" s="28"/>
      <c r="M14" s="28"/>
      <c r="N14" s="39"/>
      <c r="Q14" s="8">
        <v>5.0</v>
      </c>
      <c r="R14" s="33" t="s">
        <v>36</v>
      </c>
      <c r="S14" s="34" t="str">
        <f t="shared" ref="S14:S15" si="8">R3</f>
        <v>Nguyễn Tuấn Sơn - Hà Vũ Đức Anh</v>
      </c>
      <c r="T14" s="3"/>
      <c r="U14" s="35">
        <v>11.0</v>
      </c>
      <c r="V14" s="36" t="s">
        <v>32</v>
      </c>
      <c r="W14" s="37">
        <v>9.0</v>
      </c>
      <c r="X14" s="38" t="str">
        <f t="shared" si="6"/>
        <v>Dương Viết Đức - Phan Hương Trà</v>
      </c>
      <c r="Y14" s="28"/>
      <c r="Z14" s="28"/>
      <c r="AA14" s="28"/>
      <c r="AB14" s="28"/>
      <c r="AC14" s="28"/>
      <c r="AD14" s="39"/>
    </row>
    <row r="15" ht="34.5" customHeight="1">
      <c r="A15" s="8">
        <v>6.0</v>
      </c>
      <c r="B15" s="33" t="s">
        <v>37</v>
      </c>
      <c r="C15" s="34" t="str">
        <f t="shared" si="7"/>
        <v>Nguyễn Hoàng Minh Hiền - Nguyễn Đức Kiên</v>
      </c>
      <c r="D15" s="3"/>
      <c r="E15" s="35">
        <v>4.0</v>
      </c>
      <c r="F15" s="36" t="s">
        <v>32</v>
      </c>
      <c r="G15" s="37">
        <v>11.0</v>
      </c>
      <c r="H15" s="34" t="str">
        <f>B5</f>
        <v>Trần Tuấn Hiệp - Hoàng Quang Vinh</v>
      </c>
      <c r="I15" s="2"/>
      <c r="J15" s="2"/>
      <c r="K15" s="2"/>
      <c r="L15" s="2"/>
      <c r="M15" s="2"/>
      <c r="N15" s="3"/>
      <c r="Q15" s="8">
        <v>6.0</v>
      </c>
      <c r="R15" s="33" t="s">
        <v>37</v>
      </c>
      <c r="S15" s="34" t="str">
        <f t="shared" si="8"/>
        <v>Doãn Hữu Thắng - Hoan Nguyên</v>
      </c>
      <c r="T15" s="3"/>
      <c r="U15" s="35">
        <v>5.0</v>
      </c>
      <c r="V15" s="36" t="s">
        <v>32</v>
      </c>
      <c r="W15" s="37">
        <v>11.0</v>
      </c>
      <c r="X15" s="34" t="str">
        <f>R5</f>
        <v>Nguyễn Văn Hải - Hoàng Trần Xuân Sơn</v>
      </c>
      <c r="Y15" s="2"/>
      <c r="Z15" s="2"/>
      <c r="AA15" s="2"/>
      <c r="AB15" s="2"/>
      <c r="AC15" s="2"/>
      <c r="AD15" s="3"/>
    </row>
    <row r="16" ht="34.5" customHeight="1">
      <c r="A16" s="40" t="s">
        <v>38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9"/>
      <c r="Q16" s="41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9"/>
    </row>
    <row r="17" ht="34.5" customHeight="1">
      <c r="A17" s="42"/>
      <c r="N17" s="43"/>
      <c r="Q17" s="42"/>
      <c r="AD17" s="43"/>
    </row>
    <row r="18" ht="34.5" customHeight="1">
      <c r="A18" s="42"/>
      <c r="N18" s="43"/>
      <c r="Q18" s="42"/>
      <c r="AD18" s="43"/>
    </row>
    <row r="19" ht="34.5" customHeight="1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  <c r="Q19" s="44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6"/>
    </row>
    <row r="20" ht="33.75" customHeight="1">
      <c r="A20" s="47" t="s">
        <v>39</v>
      </c>
      <c r="B20" s="3"/>
      <c r="C20" s="48" t="str">
        <f t="shared" ref="C20:C21" si="9">B5</f>
        <v>Trần Tuấn Hiệp - Hoàng Quang Vinh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Q20" s="49" t="s">
        <v>40</v>
      </c>
      <c r="R20" s="3"/>
      <c r="S20" s="48" t="str">
        <f>R3</f>
        <v>Nguyễn Tuấn Sơn - Hà Vũ Đức Anh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</row>
    <row r="21" ht="33.75" customHeight="1">
      <c r="A21" s="47" t="s">
        <v>41</v>
      </c>
      <c r="B21" s="3"/>
      <c r="C21" s="48" t="str">
        <f t="shared" si="9"/>
        <v>Nguyễn Hữu Tuấn Duy - Nguyễn Thị Thùy Dương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Q21" s="49" t="s">
        <v>42</v>
      </c>
      <c r="R21" s="3"/>
      <c r="S21" s="48" t="str">
        <f>R6</f>
        <v>Dương Viết Đức - Phan Hương Trà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</row>
    <row r="22" ht="33.75" customHeight="1">
      <c r="A22" s="47"/>
      <c r="B22" s="3"/>
      <c r="C22" s="34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Q22" s="49"/>
      <c r="R22" s="3"/>
      <c r="S22" s="34"/>
      <c r="T22" s="2"/>
      <c r="U22" s="2"/>
      <c r="V22" s="2"/>
      <c r="W22" s="2"/>
      <c r="X22" s="2"/>
      <c r="Y22" s="2"/>
      <c r="Z22" s="2"/>
      <c r="AA22" s="2"/>
      <c r="AB22" s="2"/>
      <c r="AC22" s="2"/>
      <c r="AD22" s="3"/>
    </row>
    <row r="25">
      <c r="A25" s="50" t="s">
        <v>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Q25" s="51" t="s">
        <v>44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3"/>
    </row>
    <row r="26" ht="24.0" customHeight="1">
      <c r="A26" s="5" t="s">
        <v>2</v>
      </c>
      <c r="B26" s="6" t="s">
        <v>3</v>
      </c>
      <c r="C26" s="3"/>
      <c r="D26" s="6" t="s">
        <v>4</v>
      </c>
      <c r="E26" s="2"/>
      <c r="F26" s="2"/>
      <c r="G26" s="3"/>
      <c r="H26" s="6" t="s">
        <v>5</v>
      </c>
      <c r="I26" s="2"/>
      <c r="J26" s="2"/>
      <c r="K26" s="3"/>
      <c r="L26" s="5" t="s">
        <v>6</v>
      </c>
      <c r="M26" s="5" t="s">
        <v>7</v>
      </c>
      <c r="N26" s="7" t="s">
        <v>8</v>
      </c>
      <c r="Q26" s="5" t="s">
        <v>2</v>
      </c>
      <c r="R26" s="6" t="s">
        <v>3</v>
      </c>
      <c r="S26" s="3"/>
      <c r="T26" s="6" t="s">
        <v>4</v>
      </c>
      <c r="U26" s="2"/>
      <c r="V26" s="2"/>
      <c r="W26" s="3"/>
      <c r="X26" s="6" t="s">
        <v>5</v>
      </c>
      <c r="Y26" s="2"/>
      <c r="Z26" s="2"/>
      <c r="AA26" s="3"/>
      <c r="AB26" s="5" t="s">
        <v>6</v>
      </c>
      <c r="AC26" s="5" t="s">
        <v>7</v>
      </c>
      <c r="AD26" s="7" t="s">
        <v>8</v>
      </c>
    </row>
    <row r="27" ht="24.0" customHeight="1">
      <c r="A27" s="16" t="s">
        <v>45</v>
      </c>
      <c r="B27" s="9" t="s">
        <v>46</v>
      </c>
      <c r="C27" s="3"/>
      <c r="D27" s="10">
        <v>1.0</v>
      </c>
      <c r="E27" s="10">
        <v>1.0</v>
      </c>
      <c r="F27" s="10">
        <v>1.0</v>
      </c>
      <c r="G27" s="52"/>
      <c r="H27" s="53">
        <v>5.0</v>
      </c>
      <c r="I27" s="53">
        <v>10.0</v>
      </c>
      <c r="J27" s="53">
        <v>2.0</v>
      </c>
      <c r="K27" s="52"/>
      <c r="L27" s="13">
        <f t="shared" ref="L27:L31" si="10">+D27+E27+F27+G27</f>
        <v>3</v>
      </c>
      <c r="M27" s="54">
        <f t="shared" ref="M27:M31" si="11">+H27+I27+J27+K27</f>
        <v>17</v>
      </c>
      <c r="N27" s="15">
        <v>1.0</v>
      </c>
      <c r="Q27" s="16" t="s">
        <v>47</v>
      </c>
      <c r="R27" s="9" t="s">
        <v>48</v>
      </c>
      <c r="S27" s="3"/>
      <c r="T27" s="10">
        <v>1.0</v>
      </c>
      <c r="U27" s="55">
        <v>1.0</v>
      </c>
      <c r="V27" s="56">
        <v>1.0</v>
      </c>
      <c r="W27" s="57">
        <v>1.0</v>
      </c>
      <c r="X27" s="58">
        <v>8.0</v>
      </c>
      <c r="Y27" s="59">
        <v>3.0</v>
      </c>
      <c r="Z27" s="60">
        <v>8.0</v>
      </c>
      <c r="AA27" s="61">
        <v>9.0</v>
      </c>
      <c r="AB27" s="13">
        <f t="shared" ref="AB27:AB31" si="12">+T27+U27+V27+W27</f>
        <v>4</v>
      </c>
      <c r="AC27" s="62">
        <f t="shared" ref="AC27:AC31" si="13">+X27+Y27+Z27+AA27</f>
        <v>28</v>
      </c>
      <c r="AD27" s="15">
        <v>1.0</v>
      </c>
    </row>
    <row r="28" ht="24.0" customHeight="1">
      <c r="A28" s="16" t="s">
        <v>49</v>
      </c>
      <c r="B28" s="9" t="s">
        <v>50</v>
      </c>
      <c r="C28" s="3"/>
      <c r="D28" s="10">
        <v>0.0</v>
      </c>
      <c r="E28" s="10">
        <v>1.0</v>
      </c>
      <c r="F28" s="10">
        <v>0.0</v>
      </c>
      <c r="G28" s="52"/>
      <c r="H28" s="53">
        <v>-5.0</v>
      </c>
      <c r="I28" s="53">
        <v>4.0</v>
      </c>
      <c r="J28" s="53">
        <v>-2.0</v>
      </c>
      <c r="K28" s="52"/>
      <c r="L28" s="13">
        <f t="shared" si="10"/>
        <v>1</v>
      </c>
      <c r="M28" s="54">
        <f t="shared" si="11"/>
        <v>-3</v>
      </c>
      <c r="N28" s="15">
        <v>3.0</v>
      </c>
      <c r="Q28" s="16" t="s">
        <v>51</v>
      </c>
      <c r="R28" s="9" t="s">
        <v>52</v>
      </c>
      <c r="S28" s="3"/>
      <c r="T28" s="10">
        <v>0.0</v>
      </c>
      <c r="U28" s="10">
        <v>1.0</v>
      </c>
      <c r="V28" s="10">
        <v>0.0</v>
      </c>
      <c r="W28" s="10">
        <v>1.0</v>
      </c>
      <c r="X28" s="58">
        <v>-8.0</v>
      </c>
      <c r="Y28" s="58">
        <v>6.0</v>
      </c>
      <c r="Z28" s="58">
        <v>-6.0</v>
      </c>
      <c r="AA28" s="58">
        <v>6.0</v>
      </c>
      <c r="AB28" s="13">
        <f t="shared" si="12"/>
        <v>2</v>
      </c>
      <c r="AC28" s="62">
        <f t="shared" si="13"/>
        <v>-2</v>
      </c>
      <c r="AD28" s="15">
        <v>3.0</v>
      </c>
    </row>
    <row r="29" ht="24.0" customHeight="1">
      <c r="A29" s="16" t="s">
        <v>53</v>
      </c>
      <c r="B29" s="9" t="s">
        <v>54</v>
      </c>
      <c r="C29" s="3"/>
      <c r="D29" s="10">
        <v>0.0</v>
      </c>
      <c r="E29" s="10">
        <v>0.0</v>
      </c>
      <c r="F29" s="10">
        <v>1.0</v>
      </c>
      <c r="G29" s="52"/>
      <c r="H29" s="53">
        <v>-10.0</v>
      </c>
      <c r="I29" s="53">
        <v>-10.0</v>
      </c>
      <c r="J29" s="53">
        <v>2.0</v>
      </c>
      <c r="K29" s="52"/>
      <c r="L29" s="13">
        <f t="shared" si="10"/>
        <v>1</v>
      </c>
      <c r="M29" s="54">
        <f t="shared" si="11"/>
        <v>-18</v>
      </c>
      <c r="N29" s="15">
        <v>4.0</v>
      </c>
      <c r="Q29" s="16" t="s">
        <v>55</v>
      </c>
      <c r="R29" s="9" t="s">
        <v>56</v>
      </c>
      <c r="S29" s="3"/>
      <c r="T29" s="10">
        <v>0.0</v>
      </c>
      <c r="U29" s="10">
        <v>1.0</v>
      </c>
      <c r="V29" s="57">
        <v>0.0</v>
      </c>
      <c r="W29" s="10">
        <v>0.0</v>
      </c>
      <c r="X29" s="58">
        <v>-9.0</v>
      </c>
      <c r="Y29" s="58">
        <v>11.0</v>
      </c>
      <c r="Z29" s="61">
        <v>-9.0</v>
      </c>
      <c r="AA29" s="58">
        <v>-6.0</v>
      </c>
      <c r="AB29" s="13">
        <f t="shared" si="12"/>
        <v>1</v>
      </c>
      <c r="AC29" s="62">
        <f t="shared" si="13"/>
        <v>-13</v>
      </c>
      <c r="AD29" s="15">
        <v>4.0</v>
      </c>
    </row>
    <row r="30" ht="24.0" customHeight="1">
      <c r="A30" s="16" t="s">
        <v>57</v>
      </c>
      <c r="B30" s="9" t="s">
        <v>58</v>
      </c>
      <c r="C30" s="3"/>
      <c r="D30" s="10">
        <v>1.0</v>
      </c>
      <c r="E30" s="10">
        <v>0.0</v>
      </c>
      <c r="F30" s="10">
        <v>0.0</v>
      </c>
      <c r="G30" s="52"/>
      <c r="H30" s="53">
        <v>10.0</v>
      </c>
      <c r="I30" s="53">
        <v>-4.0</v>
      </c>
      <c r="J30" s="53">
        <v>-2.0</v>
      </c>
      <c r="K30" s="52"/>
      <c r="L30" s="13">
        <f t="shared" si="10"/>
        <v>1</v>
      </c>
      <c r="M30" s="54">
        <f t="shared" si="11"/>
        <v>4</v>
      </c>
      <c r="N30" s="15">
        <v>2.0</v>
      </c>
      <c r="Q30" s="16" t="s">
        <v>59</v>
      </c>
      <c r="R30" s="9" t="s">
        <v>60</v>
      </c>
      <c r="S30" s="3"/>
      <c r="T30" s="10">
        <v>1.0</v>
      </c>
      <c r="U30" s="10">
        <v>0.0</v>
      </c>
      <c r="V30" s="56">
        <v>0.0</v>
      </c>
      <c r="W30" s="10">
        <v>0.0</v>
      </c>
      <c r="X30" s="58">
        <v>9.0</v>
      </c>
      <c r="Y30" s="58">
        <v>-6.0</v>
      </c>
      <c r="Z30" s="60">
        <v>-8.0</v>
      </c>
      <c r="AA30" s="58">
        <v>-9.0</v>
      </c>
      <c r="AB30" s="13">
        <f t="shared" si="12"/>
        <v>1</v>
      </c>
      <c r="AC30" s="62">
        <f t="shared" si="13"/>
        <v>-14</v>
      </c>
      <c r="AD30" s="15">
        <v>5.0</v>
      </c>
    </row>
    <row r="31" ht="24.0" customHeight="1">
      <c r="A31" s="63" t="s">
        <v>61</v>
      </c>
      <c r="B31" s="64"/>
      <c r="C31" s="3"/>
      <c r="D31" s="52"/>
      <c r="E31" s="52"/>
      <c r="F31" s="52"/>
      <c r="G31" s="52"/>
      <c r="H31" s="52"/>
      <c r="I31" s="52"/>
      <c r="J31" s="52"/>
      <c r="K31" s="65"/>
      <c r="L31" s="52">
        <f t="shared" si="10"/>
        <v>0</v>
      </c>
      <c r="M31" s="52">
        <f t="shared" si="11"/>
        <v>0</v>
      </c>
      <c r="N31" s="66"/>
      <c r="Q31" s="16" t="s">
        <v>62</v>
      </c>
      <c r="R31" s="9" t="s">
        <v>63</v>
      </c>
      <c r="S31" s="3"/>
      <c r="T31" s="55">
        <v>0.0</v>
      </c>
      <c r="U31" s="10">
        <v>0.0</v>
      </c>
      <c r="V31" s="10">
        <v>1.0</v>
      </c>
      <c r="W31" s="10">
        <v>1.0</v>
      </c>
      <c r="X31" s="59">
        <v>-3.0</v>
      </c>
      <c r="Y31" s="58">
        <v>-11.0</v>
      </c>
      <c r="Z31" s="58">
        <v>6.0</v>
      </c>
      <c r="AA31" s="58">
        <v>9.0</v>
      </c>
      <c r="AB31" s="13">
        <f t="shared" si="12"/>
        <v>2</v>
      </c>
      <c r="AC31" s="62">
        <f t="shared" si="13"/>
        <v>1</v>
      </c>
      <c r="AD31" s="15">
        <v>2.0</v>
      </c>
    </row>
    <row r="32">
      <c r="A32" s="23"/>
      <c r="Q32" s="23"/>
    </row>
    <row r="33">
      <c r="A33" s="67" t="s">
        <v>27</v>
      </c>
      <c r="B33" s="68" t="s">
        <v>28</v>
      </c>
      <c r="C33" s="69" t="s">
        <v>29</v>
      </c>
      <c r="D33" s="3"/>
      <c r="E33" s="69" t="s">
        <v>30</v>
      </c>
      <c r="F33" s="2"/>
      <c r="G33" s="2"/>
      <c r="H33" s="70" t="s">
        <v>29</v>
      </c>
      <c r="I33" s="28"/>
      <c r="J33" s="28"/>
      <c r="K33" s="28"/>
      <c r="L33" s="28"/>
      <c r="M33" s="28"/>
      <c r="N33" s="28"/>
      <c r="Q33" s="71" t="s">
        <v>27</v>
      </c>
      <c r="R33" s="72" t="s">
        <v>28</v>
      </c>
      <c r="S33" s="73" t="s">
        <v>29</v>
      </c>
      <c r="T33" s="3"/>
      <c r="U33" s="73" t="s">
        <v>30</v>
      </c>
      <c r="V33" s="2"/>
      <c r="W33" s="2"/>
      <c r="X33" s="74" t="s">
        <v>29</v>
      </c>
      <c r="Y33" s="28"/>
      <c r="Z33" s="28"/>
      <c r="AA33" s="28"/>
      <c r="AB33" s="28"/>
      <c r="AC33" s="28"/>
      <c r="AD33" s="28"/>
    </row>
    <row r="34" ht="32.25" customHeight="1">
      <c r="A34" s="8">
        <v>1.0</v>
      </c>
      <c r="B34" s="33" t="s">
        <v>31</v>
      </c>
      <c r="C34" s="34" t="str">
        <f>B27</f>
        <v>Tăng khánh Thiện - Nguyễn Ngọc Tuấn</v>
      </c>
      <c r="D34" s="3"/>
      <c r="E34" s="35">
        <v>11.0</v>
      </c>
      <c r="F34" s="36" t="s">
        <v>32</v>
      </c>
      <c r="G34" s="37">
        <v>6.0</v>
      </c>
      <c r="H34" s="38" t="str">
        <f>B28</f>
        <v>Phan Hoàng Anh - Nguyễn Mạnh Thắng (12)</v>
      </c>
      <c r="I34" s="28"/>
      <c r="J34" s="28"/>
      <c r="K34" s="28"/>
      <c r="L34" s="28"/>
      <c r="M34" s="28"/>
      <c r="N34" s="39"/>
      <c r="Q34" s="8">
        <v>1.0</v>
      </c>
      <c r="R34" s="33" t="s">
        <v>31</v>
      </c>
      <c r="S34" s="34" t="str">
        <f>R27</f>
        <v>Nguyễn Huy Hoàng - Nguyễn Viết Chính</v>
      </c>
      <c r="T34" s="3"/>
      <c r="U34" s="35">
        <v>11.0</v>
      </c>
      <c r="V34" s="36" t="s">
        <v>32</v>
      </c>
      <c r="W34" s="37">
        <v>3.0</v>
      </c>
      <c r="X34" s="38" t="str">
        <f>R28</f>
        <v>Đinh Anh Tiến - Trần Đức Nhân</v>
      </c>
      <c r="Y34" s="28"/>
      <c r="Z34" s="28"/>
      <c r="AA34" s="28"/>
      <c r="AB34" s="28"/>
      <c r="AC34" s="28"/>
      <c r="AD34" s="39"/>
    </row>
    <row r="35" ht="32.25" customHeight="1">
      <c r="A35" s="8">
        <v>2.0</v>
      </c>
      <c r="B35" s="33" t="s">
        <v>33</v>
      </c>
      <c r="C35" s="34" t="str">
        <f>B29</f>
        <v>Bùi Minh Đức - Vũ Hồng Ngọc</v>
      </c>
      <c r="D35" s="3"/>
      <c r="E35" s="35">
        <v>1.0</v>
      </c>
      <c r="F35" s="36" t="s">
        <v>32</v>
      </c>
      <c r="G35" s="37">
        <v>11.0</v>
      </c>
      <c r="H35" s="38" t="str">
        <f>B30</f>
        <v>Nguyễn Thị Phương Thảo - Nguyễn Lê Anh</v>
      </c>
      <c r="I35" s="28"/>
      <c r="J35" s="28"/>
      <c r="K35" s="28"/>
      <c r="L35" s="28"/>
      <c r="M35" s="28"/>
      <c r="N35" s="39"/>
      <c r="Q35" s="8">
        <v>2.0</v>
      </c>
      <c r="R35" s="33" t="s">
        <v>33</v>
      </c>
      <c r="S35" s="34" t="str">
        <f>R29</f>
        <v>Nguyễn Mạnh Thắng (8) - Hà Thị Hiên</v>
      </c>
      <c r="T35" s="3"/>
      <c r="U35" s="35">
        <v>2.0</v>
      </c>
      <c r="V35" s="36" t="s">
        <v>32</v>
      </c>
      <c r="W35" s="37">
        <v>11.0</v>
      </c>
      <c r="X35" s="38" t="str">
        <f t="shared" ref="X35:X36" si="14">R30</f>
        <v>Nguyễn Thị Thu Phương - Bùi Tăng Bảo Ngọc</v>
      </c>
      <c r="Y35" s="28"/>
      <c r="Z35" s="28"/>
      <c r="AA35" s="28"/>
      <c r="AB35" s="28"/>
      <c r="AC35" s="28"/>
      <c r="AD35" s="39"/>
    </row>
    <row r="36" ht="32.25" customHeight="1">
      <c r="A36" s="8">
        <v>3.0</v>
      </c>
      <c r="B36" s="33" t="s">
        <v>34</v>
      </c>
      <c r="C36" s="34" t="str">
        <f>B28</f>
        <v>Phan Hoàng Anh - Nguyễn Mạnh Thắng (12)</v>
      </c>
      <c r="D36" s="3"/>
      <c r="E36" s="35">
        <v>11.0</v>
      </c>
      <c r="F36" s="36" t="s">
        <v>32</v>
      </c>
      <c r="G36" s="37">
        <v>7.0</v>
      </c>
      <c r="H36" s="38" t="str">
        <f>B30</f>
        <v>Nguyễn Thị Phương Thảo - Nguyễn Lê Anh</v>
      </c>
      <c r="I36" s="28"/>
      <c r="J36" s="28"/>
      <c r="K36" s="28"/>
      <c r="L36" s="28"/>
      <c r="M36" s="28"/>
      <c r="N36" s="39"/>
      <c r="Q36" s="8">
        <v>3.0</v>
      </c>
      <c r="R36" s="33" t="s">
        <v>64</v>
      </c>
      <c r="S36" s="34" t="str">
        <f t="shared" ref="S36:S38" si="15">R27</f>
        <v>Nguyễn Huy Hoàng - Nguyễn Viết Chính</v>
      </c>
      <c r="T36" s="3"/>
      <c r="U36" s="75">
        <v>11.0</v>
      </c>
      <c r="V36" s="36" t="s">
        <v>32</v>
      </c>
      <c r="W36" s="76">
        <v>8.0</v>
      </c>
      <c r="X36" s="38" t="str">
        <f t="shared" si="14"/>
        <v>Nguyễn Đức Xuân Bình - Nguyễn Bích Ngọc</v>
      </c>
      <c r="Y36" s="28"/>
      <c r="Z36" s="28"/>
      <c r="AA36" s="28"/>
      <c r="AB36" s="28"/>
      <c r="AC36" s="28"/>
      <c r="AD36" s="39"/>
    </row>
    <row r="37" ht="32.25" customHeight="1">
      <c r="A37" s="8">
        <v>4.0</v>
      </c>
      <c r="B37" s="33" t="s">
        <v>35</v>
      </c>
      <c r="C37" s="34" t="str">
        <f>B27</f>
        <v>Tăng khánh Thiện - Nguyễn Ngọc Tuấn</v>
      </c>
      <c r="D37" s="3"/>
      <c r="E37" s="35">
        <v>11.0</v>
      </c>
      <c r="F37" s="36" t="s">
        <v>32</v>
      </c>
      <c r="G37" s="37">
        <v>1.0</v>
      </c>
      <c r="H37" s="34" t="str">
        <f t="shared" ref="H37:H38" si="16">B29</f>
        <v>Bùi Minh Đức - Vũ Hồng Ngọc</v>
      </c>
      <c r="I37" s="2"/>
      <c r="J37" s="2"/>
      <c r="K37" s="2"/>
      <c r="L37" s="2"/>
      <c r="M37" s="2"/>
      <c r="N37" s="3"/>
      <c r="Q37" s="8">
        <v>4.0</v>
      </c>
      <c r="R37" s="33" t="s">
        <v>34</v>
      </c>
      <c r="S37" s="34" t="str">
        <f t="shared" si="15"/>
        <v>Đinh Anh Tiến - Trần Đức Nhân</v>
      </c>
      <c r="T37" s="3"/>
      <c r="U37" s="35">
        <v>11.0</v>
      </c>
      <c r="V37" s="36" t="s">
        <v>32</v>
      </c>
      <c r="W37" s="37">
        <v>5.0</v>
      </c>
      <c r="X37" s="38" t="str">
        <f t="shared" ref="X37:X38" si="17">R30</f>
        <v>Nguyễn Thị Thu Phương - Bùi Tăng Bảo Ngọc</v>
      </c>
      <c r="Y37" s="28"/>
      <c r="Z37" s="28"/>
      <c r="AA37" s="28"/>
      <c r="AB37" s="28"/>
      <c r="AC37" s="28"/>
      <c r="AD37" s="39"/>
    </row>
    <row r="38" ht="32.25" customHeight="1">
      <c r="A38" s="8">
        <v>5.0</v>
      </c>
      <c r="B38" s="33" t="s">
        <v>36</v>
      </c>
      <c r="C38" s="34" t="str">
        <f t="shared" ref="C38:C39" si="18">B27</f>
        <v>Tăng khánh Thiện - Nguyễn Ngọc Tuấn</v>
      </c>
      <c r="D38" s="3"/>
      <c r="E38" s="35">
        <v>12.0</v>
      </c>
      <c r="F38" s="36" t="s">
        <v>32</v>
      </c>
      <c r="G38" s="37">
        <v>10.0</v>
      </c>
      <c r="H38" s="38" t="str">
        <f t="shared" si="16"/>
        <v>Nguyễn Thị Phương Thảo - Nguyễn Lê Anh</v>
      </c>
      <c r="I38" s="28"/>
      <c r="J38" s="28"/>
      <c r="K38" s="28"/>
      <c r="L38" s="28"/>
      <c r="M38" s="28"/>
      <c r="N38" s="39"/>
      <c r="Q38" s="8">
        <v>5.0</v>
      </c>
      <c r="R38" s="33" t="s">
        <v>65</v>
      </c>
      <c r="S38" s="34" t="str">
        <f t="shared" si="15"/>
        <v>Nguyễn Mạnh Thắng (8) - Hà Thị Hiên</v>
      </c>
      <c r="T38" s="3"/>
      <c r="U38" s="35">
        <v>11.0</v>
      </c>
      <c r="V38" s="36" t="s">
        <v>32</v>
      </c>
      <c r="W38" s="37">
        <v>0.0</v>
      </c>
      <c r="X38" s="38" t="str">
        <f t="shared" si="17"/>
        <v>Nguyễn Đức Xuân Bình - Nguyễn Bích Ngọc</v>
      </c>
      <c r="Y38" s="28"/>
      <c r="Z38" s="28"/>
      <c r="AA38" s="28"/>
      <c r="AB38" s="28"/>
      <c r="AC38" s="28"/>
      <c r="AD38" s="39"/>
    </row>
    <row r="39" ht="32.25" customHeight="1">
      <c r="A39" s="8">
        <v>6.0</v>
      </c>
      <c r="B39" s="33" t="s">
        <v>37</v>
      </c>
      <c r="C39" s="34" t="str">
        <f t="shared" si="18"/>
        <v>Phan Hoàng Anh - Nguyễn Mạnh Thắng (12)</v>
      </c>
      <c r="D39" s="3"/>
      <c r="E39" s="35">
        <v>10.0</v>
      </c>
      <c r="F39" s="36" t="s">
        <v>32</v>
      </c>
      <c r="G39" s="37">
        <v>12.0</v>
      </c>
      <c r="H39" s="34" t="str">
        <f>B29</f>
        <v>Bùi Minh Đức - Vũ Hồng Ngọc</v>
      </c>
      <c r="I39" s="2"/>
      <c r="J39" s="2"/>
      <c r="K39" s="2"/>
      <c r="L39" s="2"/>
      <c r="M39" s="2"/>
      <c r="N39" s="3"/>
      <c r="Q39" s="8">
        <v>6.0</v>
      </c>
      <c r="R39" s="33" t="s">
        <v>36</v>
      </c>
      <c r="S39" s="34" t="str">
        <f t="shared" ref="S39:S40" si="19">R27</f>
        <v>Nguyễn Huy Hoàng - Nguyễn Viết Chính</v>
      </c>
      <c r="T39" s="3"/>
      <c r="U39" s="77">
        <v>11.0</v>
      </c>
      <c r="V39" s="36" t="s">
        <v>32</v>
      </c>
      <c r="W39" s="78">
        <v>3.0</v>
      </c>
      <c r="X39" s="38" t="str">
        <f t="shared" ref="X39:X40" si="20">R30</f>
        <v>Nguyễn Thị Thu Phương - Bùi Tăng Bảo Ngọc</v>
      </c>
      <c r="Y39" s="28"/>
      <c r="Z39" s="28"/>
      <c r="AA39" s="28"/>
      <c r="AB39" s="28"/>
      <c r="AC39" s="28"/>
      <c r="AD39" s="39"/>
    </row>
    <row r="40" ht="32.25" customHeight="1">
      <c r="A40" s="41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39"/>
      <c r="Q40" s="8">
        <v>7.0</v>
      </c>
      <c r="R40" s="33" t="s">
        <v>66</v>
      </c>
      <c r="S40" s="34" t="str">
        <f t="shared" si="19"/>
        <v>Đinh Anh Tiến - Trần Đức Nhân</v>
      </c>
      <c r="T40" s="3"/>
      <c r="U40" s="35">
        <v>5.0</v>
      </c>
      <c r="V40" s="36" t="s">
        <v>32</v>
      </c>
      <c r="W40" s="37">
        <v>11.0</v>
      </c>
      <c r="X40" s="38" t="str">
        <f t="shared" si="20"/>
        <v>Nguyễn Đức Xuân Bình - Nguyễn Bích Ngọc</v>
      </c>
      <c r="Y40" s="28"/>
      <c r="Z40" s="28"/>
      <c r="AA40" s="28"/>
      <c r="AB40" s="28"/>
      <c r="AC40" s="28"/>
      <c r="AD40" s="39"/>
    </row>
    <row r="41" ht="32.25" customHeight="1">
      <c r="A41" s="42"/>
      <c r="N41" s="43"/>
      <c r="Q41" s="8">
        <v>8.0</v>
      </c>
      <c r="R41" s="33" t="s">
        <v>35</v>
      </c>
      <c r="S41" s="34" t="str">
        <f>R27</f>
        <v>Nguyễn Huy Hoàng - Nguyễn Viết Chính</v>
      </c>
      <c r="T41" s="3"/>
      <c r="U41" s="79">
        <v>11.0</v>
      </c>
      <c r="V41" s="36" t="s">
        <v>32</v>
      </c>
      <c r="W41" s="80">
        <v>2.0</v>
      </c>
      <c r="X41" s="34" t="str">
        <f>R29</f>
        <v>Nguyễn Mạnh Thắng (8) - Hà Thị Hiên</v>
      </c>
      <c r="Y41" s="2"/>
      <c r="Z41" s="2"/>
      <c r="AA41" s="2"/>
      <c r="AB41" s="2"/>
      <c r="AC41" s="2"/>
      <c r="AD41" s="3"/>
    </row>
    <row r="42" ht="32.25" customHeight="1">
      <c r="A42" s="42"/>
      <c r="N42" s="43"/>
      <c r="Q42" s="8">
        <v>9.0</v>
      </c>
      <c r="R42" s="33" t="s">
        <v>67</v>
      </c>
      <c r="S42" s="34" t="str">
        <f>R30</f>
        <v>Nguyễn Thị Thu Phương - Bùi Tăng Bảo Ngọc</v>
      </c>
      <c r="T42" s="3"/>
      <c r="U42" s="35">
        <v>2.0</v>
      </c>
      <c r="V42" s="36" t="s">
        <v>32</v>
      </c>
      <c r="W42" s="37">
        <v>11.0</v>
      </c>
      <c r="X42" s="38" t="str">
        <f>R31</f>
        <v>Nguyễn Đức Xuân Bình - Nguyễn Bích Ngọc</v>
      </c>
      <c r="Y42" s="28"/>
      <c r="Z42" s="28"/>
      <c r="AA42" s="28"/>
      <c r="AB42" s="28"/>
      <c r="AC42" s="28"/>
      <c r="AD42" s="39"/>
    </row>
    <row r="43" ht="32.25" customHeight="1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/>
      <c r="Q43" s="8">
        <v>10.0</v>
      </c>
      <c r="R43" s="33" t="s">
        <v>37</v>
      </c>
      <c r="S43" s="34" t="str">
        <f>R28</f>
        <v>Đinh Anh Tiến - Trần Đức Nhân</v>
      </c>
      <c r="T43" s="3"/>
      <c r="U43" s="35">
        <v>11.0</v>
      </c>
      <c r="V43" s="36" t="s">
        <v>32</v>
      </c>
      <c r="W43" s="37">
        <v>5.0</v>
      </c>
      <c r="X43" s="34" t="str">
        <f>R29</f>
        <v>Nguyễn Mạnh Thắng (8) - Hà Thị Hiên</v>
      </c>
      <c r="Y43" s="2"/>
      <c r="Z43" s="2"/>
      <c r="AA43" s="2"/>
      <c r="AB43" s="2"/>
      <c r="AC43" s="2"/>
      <c r="AD43" s="3"/>
    </row>
    <row r="44" ht="32.25" customHeight="1">
      <c r="A44" s="81" t="s">
        <v>68</v>
      </c>
      <c r="B44" s="3"/>
      <c r="C44" s="82" t="str">
        <f>B27</f>
        <v>Tăng khánh Thiện - Nguyễn Ngọc Tuấn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Q44" s="83" t="s">
        <v>69</v>
      </c>
      <c r="R44" s="3"/>
      <c r="S44" s="48" t="str">
        <f>R27</f>
        <v>Nguyễn Huy Hoàng - Nguyễn Viết Chính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</row>
    <row r="45" ht="32.25" customHeight="1">
      <c r="A45" s="81" t="s">
        <v>70</v>
      </c>
      <c r="B45" s="3"/>
      <c r="C45" s="82" t="str">
        <f>B30</f>
        <v>Nguyễn Thị Phương Thảo - Nguyễn Lê Anh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Q45" s="83" t="s">
        <v>71</v>
      </c>
      <c r="R45" s="3"/>
      <c r="S45" s="48" t="str">
        <f>R31</f>
        <v>Nguyễn Đức Xuân Bình - Nguyễn Bích Ngọc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</row>
    <row r="46" ht="32.25" customHeight="1">
      <c r="A46" s="81"/>
      <c r="B46" s="3"/>
      <c r="C46" s="34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Q46" s="83"/>
      <c r="R46" s="3"/>
      <c r="S46" s="34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</row>
    <row r="48" ht="26.25" customHeight="1">
      <c r="B48" s="84" t="s">
        <v>72</v>
      </c>
      <c r="C48" s="85" t="s">
        <v>73</v>
      </c>
      <c r="F48" s="86" t="s">
        <v>74</v>
      </c>
      <c r="G48" s="28"/>
      <c r="H48" s="28"/>
      <c r="I48" s="39"/>
      <c r="J48" s="87" t="s">
        <v>75</v>
      </c>
      <c r="K48" s="2"/>
      <c r="L48" s="2"/>
      <c r="M48" s="2"/>
      <c r="N48" s="2"/>
      <c r="O48" s="2"/>
      <c r="P48" s="88"/>
      <c r="Q48" s="89"/>
      <c r="R48" s="89"/>
    </row>
    <row r="49" ht="26.25" customHeight="1">
      <c r="C49" s="90" t="s">
        <v>76</v>
      </c>
      <c r="F49" s="42"/>
      <c r="I49" s="43"/>
      <c r="J49" s="87" t="s">
        <v>77</v>
      </c>
      <c r="K49" s="2"/>
      <c r="L49" s="2"/>
      <c r="M49" s="2"/>
      <c r="N49" s="2"/>
      <c r="O49" s="2"/>
      <c r="P49" s="88"/>
      <c r="Q49" s="89"/>
      <c r="R49" s="89"/>
    </row>
    <row r="50" ht="26.25" customHeight="1">
      <c r="C50" s="91" t="s">
        <v>78</v>
      </c>
      <c r="F50" s="42"/>
      <c r="I50" s="43"/>
      <c r="J50" s="87" t="s">
        <v>79</v>
      </c>
      <c r="K50" s="2"/>
      <c r="L50" s="2"/>
      <c r="M50" s="2"/>
      <c r="N50" s="2"/>
      <c r="O50" s="2"/>
      <c r="P50" s="88"/>
      <c r="Q50" s="89"/>
      <c r="R50" s="89"/>
    </row>
    <row r="51" ht="26.25" customHeight="1">
      <c r="A51" s="23"/>
      <c r="B51" s="23"/>
      <c r="C51" s="23"/>
      <c r="D51" s="23"/>
      <c r="E51" s="23"/>
      <c r="F51" s="44"/>
      <c r="G51" s="45"/>
      <c r="H51" s="45"/>
      <c r="I51" s="46"/>
      <c r="J51" s="92" t="s">
        <v>80</v>
      </c>
      <c r="K51" s="2"/>
      <c r="L51" s="2"/>
      <c r="M51" s="2"/>
      <c r="N51" s="2"/>
      <c r="O51" s="2"/>
      <c r="P51" s="88"/>
      <c r="Q51" s="89"/>
      <c r="R51" s="89"/>
      <c r="S51" s="93"/>
      <c r="T51" s="93"/>
      <c r="U51" s="93"/>
    </row>
    <row r="52" ht="30.75" customHeight="1"/>
    <row r="53"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6"/>
    </row>
    <row r="54">
      <c r="B54" s="97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9"/>
      <c r="W54" s="98"/>
      <c r="X54" s="98"/>
    </row>
    <row r="55">
      <c r="B55" s="97"/>
      <c r="C55" s="100" t="s">
        <v>81</v>
      </c>
      <c r="D55" s="28"/>
      <c r="E55" s="28"/>
      <c r="F55" s="39"/>
      <c r="G55" s="98"/>
      <c r="H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9"/>
      <c r="W55" s="98"/>
      <c r="X55" s="98"/>
    </row>
    <row r="56">
      <c r="B56" s="101"/>
      <c r="C56" s="44"/>
      <c r="D56" s="45"/>
      <c r="E56" s="45"/>
      <c r="F56" s="46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3"/>
      <c r="W56" s="98"/>
      <c r="X56" s="98"/>
    </row>
    <row r="57">
      <c r="B57" s="104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3"/>
      <c r="W57" s="98"/>
      <c r="X57" s="98"/>
    </row>
    <row r="58">
      <c r="A58" s="105">
        <v>1.0</v>
      </c>
      <c r="B58" s="106" t="s">
        <v>82</v>
      </c>
      <c r="C58" s="28"/>
      <c r="D58" s="28"/>
      <c r="E58" s="28"/>
      <c r="F58" s="28"/>
      <c r="G58" s="28"/>
      <c r="H58" s="39"/>
      <c r="I58" s="107"/>
      <c r="J58" s="107"/>
      <c r="K58" s="107"/>
      <c r="L58" s="107"/>
      <c r="M58" s="107"/>
      <c r="N58" s="107"/>
      <c r="O58" s="107"/>
      <c r="P58" s="102"/>
      <c r="Q58" s="102"/>
      <c r="R58" s="102"/>
      <c r="S58" s="102"/>
      <c r="T58" s="102"/>
      <c r="U58" s="102"/>
      <c r="V58" s="103"/>
      <c r="W58" s="98"/>
      <c r="X58" s="98"/>
    </row>
    <row r="59">
      <c r="A59" s="108"/>
      <c r="B59" s="42"/>
      <c r="H59" s="43"/>
      <c r="I59" s="109"/>
      <c r="J59" s="109"/>
      <c r="K59" s="110" t="s">
        <v>83</v>
      </c>
      <c r="L59" s="2"/>
      <c r="M59" s="3"/>
      <c r="N59" s="107"/>
      <c r="O59" s="107"/>
      <c r="P59" s="102"/>
      <c r="Q59" s="102"/>
      <c r="R59" s="102"/>
      <c r="S59" s="102"/>
      <c r="T59" s="102"/>
      <c r="U59" s="102"/>
      <c r="V59" s="103"/>
      <c r="W59" s="98"/>
      <c r="X59" s="98"/>
    </row>
    <row r="60">
      <c r="A60" s="108"/>
      <c r="B60" s="44"/>
      <c r="C60" s="45"/>
      <c r="D60" s="45"/>
      <c r="E60" s="45"/>
      <c r="F60" s="45"/>
      <c r="G60" s="45"/>
      <c r="H60" s="46"/>
      <c r="I60" s="107"/>
      <c r="J60" s="107"/>
      <c r="K60" s="107"/>
      <c r="L60" s="107"/>
      <c r="M60" s="107"/>
      <c r="N60" s="107"/>
      <c r="O60" s="107"/>
      <c r="P60" s="102"/>
      <c r="Q60" s="102"/>
      <c r="R60" s="111" t="s">
        <v>84</v>
      </c>
      <c r="S60" s="39"/>
      <c r="T60" s="102"/>
      <c r="U60" s="102"/>
      <c r="V60" s="103"/>
      <c r="W60" s="98"/>
      <c r="X60" s="98"/>
    </row>
    <row r="61">
      <c r="A61" s="108"/>
      <c r="B61" s="112"/>
      <c r="C61" s="106" t="s">
        <v>85</v>
      </c>
      <c r="D61" s="39"/>
      <c r="E61" s="107"/>
      <c r="F61" s="107"/>
      <c r="G61" s="113" t="s">
        <v>18</v>
      </c>
      <c r="H61" s="28"/>
      <c r="I61" s="28"/>
      <c r="J61" s="28"/>
      <c r="K61" s="28"/>
      <c r="L61" s="28"/>
      <c r="M61" s="28"/>
      <c r="N61" s="28"/>
      <c r="O61" s="39"/>
      <c r="P61" s="102"/>
      <c r="Q61" s="102"/>
      <c r="R61" s="42"/>
      <c r="S61" s="43"/>
      <c r="T61" s="102"/>
      <c r="U61" s="102"/>
      <c r="V61" s="103"/>
      <c r="W61" s="98"/>
      <c r="X61" s="98"/>
    </row>
    <row r="62">
      <c r="A62" s="108"/>
      <c r="B62" s="112"/>
      <c r="C62" s="42"/>
      <c r="D62" s="43"/>
      <c r="E62" s="107"/>
      <c r="F62" s="107"/>
      <c r="G62" s="42"/>
      <c r="O62" s="43"/>
      <c r="P62" s="102"/>
      <c r="Q62" s="102"/>
      <c r="R62" s="44"/>
      <c r="S62" s="46"/>
      <c r="T62" s="102"/>
      <c r="U62" s="102"/>
      <c r="V62" s="103"/>
      <c r="W62" s="98"/>
      <c r="X62" s="98"/>
    </row>
    <row r="63" ht="7.5" customHeight="1">
      <c r="A63" s="108"/>
      <c r="B63" s="112"/>
      <c r="C63" s="44"/>
      <c r="D63" s="46"/>
      <c r="E63" s="107"/>
      <c r="F63" s="107"/>
      <c r="G63" s="44"/>
      <c r="H63" s="45"/>
      <c r="I63" s="45"/>
      <c r="J63" s="45"/>
      <c r="K63" s="45"/>
      <c r="L63" s="45"/>
      <c r="M63" s="45"/>
      <c r="N63" s="45"/>
      <c r="O63" s="46"/>
      <c r="P63" s="102"/>
      <c r="Q63" s="102"/>
      <c r="R63" s="102"/>
      <c r="S63" s="102"/>
      <c r="T63" s="102"/>
      <c r="U63" s="102"/>
      <c r="V63" s="103"/>
      <c r="W63" s="98"/>
      <c r="X63" s="98"/>
    </row>
    <row r="64">
      <c r="A64" s="108"/>
      <c r="B64" s="106" t="s">
        <v>86</v>
      </c>
      <c r="C64" s="28"/>
      <c r="D64" s="28"/>
      <c r="E64" s="28"/>
      <c r="F64" s="28"/>
      <c r="G64" s="28"/>
      <c r="H64" s="39"/>
      <c r="I64" s="107"/>
      <c r="J64" s="107"/>
      <c r="K64" s="107"/>
      <c r="L64" s="114"/>
      <c r="M64" s="114"/>
      <c r="N64" s="114"/>
      <c r="O64" s="114"/>
      <c r="P64" s="115" t="s">
        <v>18</v>
      </c>
      <c r="Q64" s="28"/>
      <c r="R64" s="28"/>
      <c r="S64" s="28"/>
      <c r="T64" s="39"/>
      <c r="U64" s="102"/>
      <c r="V64" s="103"/>
      <c r="W64" s="98"/>
      <c r="X64" s="98"/>
    </row>
    <row r="65">
      <c r="A65" s="108"/>
      <c r="B65" s="42"/>
      <c r="H65" s="43"/>
      <c r="I65" s="107"/>
      <c r="J65" s="107"/>
      <c r="K65" s="107"/>
      <c r="L65" s="114"/>
      <c r="M65" s="114"/>
      <c r="N65" s="114"/>
      <c r="O65" s="114"/>
      <c r="P65" s="42"/>
      <c r="T65" s="43"/>
      <c r="U65" s="102"/>
      <c r="V65" s="103"/>
      <c r="W65" s="98"/>
      <c r="X65" s="98"/>
    </row>
    <row r="66" ht="24.0" customHeight="1">
      <c r="A66" s="116"/>
      <c r="B66" s="44"/>
      <c r="C66" s="45"/>
      <c r="D66" s="45"/>
      <c r="E66" s="45"/>
      <c r="F66" s="45"/>
      <c r="G66" s="45"/>
      <c r="H66" s="46"/>
      <c r="I66" s="107"/>
      <c r="J66" s="107"/>
      <c r="K66" s="107"/>
      <c r="L66" s="114"/>
      <c r="M66" s="114"/>
      <c r="N66" s="114"/>
      <c r="O66" s="114"/>
      <c r="P66" s="42"/>
      <c r="T66" s="43"/>
      <c r="U66" s="102"/>
      <c r="V66" s="103"/>
      <c r="W66" s="98"/>
      <c r="X66" s="98"/>
    </row>
    <row r="67">
      <c r="B67" s="112"/>
      <c r="C67" s="107"/>
      <c r="D67" s="107"/>
      <c r="E67" s="107"/>
      <c r="F67" s="107"/>
      <c r="G67" s="107"/>
      <c r="H67" s="107"/>
      <c r="I67" s="109"/>
      <c r="J67" s="109"/>
      <c r="K67" s="113" t="s">
        <v>87</v>
      </c>
      <c r="L67" s="39"/>
      <c r="M67" s="114"/>
      <c r="N67" s="114"/>
      <c r="O67" s="114"/>
      <c r="P67" s="42"/>
      <c r="T67" s="43"/>
      <c r="U67" s="102"/>
      <c r="V67" s="103"/>
      <c r="W67" s="98"/>
      <c r="X67" s="98"/>
    </row>
    <row r="68">
      <c r="B68" s="112"/>
      <c r="C68" s="107"/>
      <c r="D68" s="107"/>
      <c r="E68" s="107"/>
      <c r="F68" s="107"/>
      <c r="G68" s="107"/>
      <c r="H68" s="107"/>
      <c r="I68" s="109"/>
      <c r="J68" s="109"/>
      <c r="K68" s="42"/>
      <c r="L68" s="43"/>
      <c r="M68" s="114"/>
      <c r="N68" s="114"/>
      <c r="O68" s="114"/>
      <c r="P68" s="42"/>
      <c r="T68" s="43"/>
      <c r="U68" s="102"/>
      <c r="V68" s="103"/>
      <c r="W68" s="98"/>
      <c r="X68" s="98"/>
    </row>
    <row r="69">
      <c r="B69" s="112"/>
      <c r="C69" s="107"/>
      <c r="D69" s="107"/>
      <c r="E69" s="107"/>
      <c r="F69" s="107"/>
      <c r="G69" s="107"/>
      <c r="H69" s="107"/>
      <c r="I69" s="109"/>
      <c r="J69" s="109"/>
      <c r="K69" s="44"/>
      <c r="L69" s="46"/>
      <c r="M69" s="114"/>
      <c r="N69" s="114"/>
      <c r="O69" s="114"/>
      <c r="P69" s="42"/>
      <c r="T69" s="43"/>
      <c r="U69" s="102"/>
      <c r="V69" s="103"/>
      <c r="W69" s="98"/>
      <c r="X69" s="98"/>
    </row>
    <row r="70">
      <c r="A70" s="105">
        <v>2.0</v>
      </c>
      <c r="B70" s="117" t="s">
        <v>88</v>
      </c>
      <c r="C70" s="28"/>
      <c r="D70" s="28"/>
      <c r="E70" s="28"/>
      <c r="F70" s="28"/>
      <c r="G70" s="28"/>
      <c r="H70" s="39"/>
      <c r="I70" s="107"/>
      <c r="J70" s="107"/>
      <c r="K70" s="107"/>
      <c r="L70" s="114"/>
      <c r="M70" s="114"/>
      <c r="N70" s="114"/>
      <c r="O70" s="114"/>
      <c r="P70" s="42"/>
      <c r="T70" s="43"/>
      <c r="U70" s="102"/>
      <c r="V70" s="103"/>
      <c r="W70" s="98"/>
      <c r="X70" s="98"/>
    </row>
    <row r="71">
      <c r="A71" s="108"/>
      <c r="B71" s="42"/>
      <c r="H71" s="43"/>
      <c r="I71" s="107"/>
      <c r="J71" s="107"/>
      <c r="K71" s="107"/>
      <c r="L71" s="114"/>
      <c r="M71" s="114"/>
      <c r="N71" s="114"/>
      <c r="O71" s="114"/>
      <c r="P71" s="42"/>
      <c r="T71" s="43"/>
      <c r="U71" s="102"/>
      <c r="V71" s="103"/>
      <c r="W71" s="98"/>
      <c r="X71" s="98"/>
    </row>
    <row r="72">
      <c r="A72" s="108"/>
      <c r="B72" s="44"/>
      <c r="C72" s="45"/>
      <c r="D72" s="45"/>
      <c r="E72" s="45"/>
      <c r="F72" s="45"/>
      <c r="G72" s="45"/>
      <c r="H72" s="46"/>
      <c r="I72" s="107"/>
      <c r="J72" s="107"/>
      <c r="K72" s="107"/>
      <c r="L72" s="114"/>
      <c r="M72" s="114"/>
      <c r="N72" s="114"/>
      <c r="O72" s="114"/>
      <c r="P72" s="44"/>
      <c r="Q72" s="45"/>
      <c r="R72" s="45"/>
      <c r="S72" s="45"/>
      <c r="T72" s="46"/>
      <c r="U72" s="102"/>
      <c r="V72" s="103"/>
      <c r="W72" s="98"/>
      <c r="X72" s="98"/>
    </row>
    <row r="73">
      <c r="A73" s="108"/>
      <c r="B73" s="112"/>
      <c r="C73" s="117" t="s">
        <v>89</v>
      </c>
      <c r="D73" s="39"/>
      <c r="E73" s="107"/>
      <c r="F73" s="107"/>
      <c r="G73" s="113" t="s">
        <v>63</v>
      </c>
      <c r="H73" s="28"/>
      <c r="I73" s="28"/>
      <c r="J73" s="28"/>
      <c r="K73" s="28"/>
      <c r="L73" s="28"/>
      <c r="M73" s="28"/>
      <c r="N73" s="28"/>
      <c r="O73" s="39"/>
      <c r="P73" s="98"/>
      <c r="Q73" s="102"/>
      <c r="R73" s="102"/>
      <c r="S73" s="102"/>
      <c r="T73" s="102"/>
      <c r="U73" s="102"/>
      <c r="V73" s="103"/>
      <c r="W73" s="98"/>
      <c r="X73" s="98"/>
    </row>
    <row r="74">
      <c r="A74" s="108"/>
      <c r="B74" s="112"/>
      <c r="C74" s="42"/>
      <c r="D74" s="43"/>
      <c r="E74" s="107"/>
      <c r="F74" s="107"/>
      <c r="G74" s="42"/>
      <c r="O74" s="43"/>
      <c r="P74" s="98"/>
      <c r="Q74" s="102"/>
      <c r="R74" s="98"/>
      <c r="S74" s="98"/>
      <c r="T74" s="98"/>
      <c r="U74" s="98"/>
      <c r="V74" s="99"/>
      <c r="W74" s="98"/>
      <c r="X74" s="98"/>
    </row>
    <row r="75">
      <c r="A75" s="108"/>
      <c r="B75" s="112"/>
      <c r="C75" s="44"/>
      <c r="D75" s="46"/>
      <c r="E75" s="107"/>
      <c r="F75" s="107"/>
      <c r="G75" s="44"/>
      <c r="H75" s="45"/>
      <c r="I75" s="45"/>
      <c r="J75" s="45"/>
      <c r="K75" s="45"/>
      <c r="L75" s="45"/>
      <c r="M75" s="45"/>
      <c r="N75" s="45"/>
      <c r="O75" s="46"/>
      <c r="P75" s="98"/>
      <c r="Q75" s="102"/>
      <c r="R75" s="98"/>
      <c r="S75" s="98"/>
      <c r="T75" s="98"/>
      <c r="U75" s="98"/>
      <c r="V75" s="99"/>
      <c r="W75" s="98"/>
      <c r="X75" s="98"/>
    </row>
    <row r="76">
      <c r="A76" s="108"/>
      <c r="B76" s="117" t="s">
        <v>90</v>
      </c>
      <c r="C76" s="28"/>
      <c r="D76" s="28"/>
      <c r="E76" s="28"/>
      <c r="F76" s="28"/>
      <c r="G76" s="28"/>
      <c r="H76" s="39"/>
      <c r="I76" s="107"/>
      <c r="J76" s="107"/>
      <c r="K76" s="107"/>
      <c r="L76" s="114"/>
      <c r="M76" s="114"/>
      <c r="N76" s="114"/>
      <c r="O76" s="114"/>
      <c r="P76" s="98"/>
      <c r="Q76" s="102"/>
      <c r="R76" s="98"/>
      <c r="S76" s="98"/>
      <c r="T76" s="98"/>
      <c r="U76" s="98"/>
      <c r="V76" s="99"/>
      <c r="W76" s="98"/>
      <c r="X76" s="98"/>
    </row>
    <row r="77">
      <c r="A77" s="108"/>
      <c r="B77" s="42"/>
      <c r="H77" s="43"/>
      <c r="I77" s="114"/>
      <c r="J77" s="114"/>
      <c r="K77" s="114"/>
      <c r="L77" s="114"/>
      <c r="M77" s="114"/>
      <c r="N77" s="114"/>
      <c r="O77" s="114"/>
      <c r="P77" s="98"/>
      <c r="Q77" s="118" t="s">
        <v>91</v>
      </c>
      <c r="R77" s="39"/>
      <c r="S77" s="98"/>
      <c r="T77" s="98"/>
      <c r="U77" s="98"/>
      <c r="V77" s="99"/>
      <c r="W77" s="98"/>
      <c r="X77" s="98"/>
    </row>
    <row r="78">
      <c r="A78" s="116"/>
      <c r="B78" s="44"/>
      <c r="C78" s="45"/>
      <c r="D78" s="45"/>
      <c r="E78" s="45"/>
      <c r="F78" s="45"/>
      <c r="G78" s="45"/>
      <c r="H78" s="46"/>
      <c r="I78" s="114"/>
      <c r="J78" s="114"/>
      <c r="K78" s="114"/>
      <c r="L78" s="114"/>
      <c r="M78" s="114"/>
      <c r="N78" s="114"/>
      <c r="O78" s="114"/>
      <c r="P78" s="98"/>
      <c r="Q78" s="42"/>
      <c r="R78" s="43"/>
      <c r="S78" s="98"/>
      <c r="T78" s="119"/>
      <c r="U78" s="120"/>
      <c r="V78" s="121" t="s">
        <v>92</v>
      </c>
      <c r="W78" s="28"/>
      <c r="X78" s="28"/>
      <c r="Y78" s="28"/>
      <c r="Z78" s="28"/>
      <c r="AA78" s="96"/>
    </row>
    <row r="79">
      <c r="B79" s="112"/>
      <c r="C79" s="107"/>
      <c r="D79" s="107"/>
      <c r="E79" s="107"/>
      <c r="F79" s="107"/>
      <c r="G79" s="107"/>
      <c r="H79" s="107"/>
      <c r="I79" s="114"/>
      <c r="J79" s="114"/>
      <c r="K79" s="114"/>
      <c r="L79" s="114"/>
      <c r="M79" s="114"/>
      <c r="N79" s="114"/>
      <c r="O79" s="114"/>
      <c r="P79" s="98"/>
      <c r="Q79" s="42"/>
      <c r="R79" s="43"/>
      <c r="S79" s="98"/>
      <c r="T79" s="101"/>
      <c r="U79" s="122" t="s">
        <v>93</v>
      </c>
      <c r="V79" s="123" t="s">
        <v>18</v>
      </c>
      <c r="W79" s="2"/>
      <c r="X79" s="2"/>
      <c r="Y79" s="2"/>
      <c r="Z79" s="3"/>
      <c r="AA79" s="124"/>
    </row>
    <row r="80">
      <c r="B80" s="112"/>
      <c r="C80" s="107"/>
      <c r="D80" s="107"/>
      <c r="E80" s="107"/>
      <c r="F80" s="107"/>
      <c r="G80" s="107"/>
      <c r="H80" s="107"/>
      <c r="I80" s="114"/>
      <c r="J80" s="114"/>
      <c r="K80" s="114"/>
      <c r="L80" s="114"/>
      <c r="M80" s="114"/>
      <c r="N80" s="114"/>
      <c r="O80" s="114"/>
      <c r="P80" s="98"/>
      <c r="Q80" s="42"/>
      <c r="R80" s="43"/>
      <c r="S80" s="102"/>
      <c r="T80" s="101"/>
      <c r="U80" s="122" t="s">
        <v>94</v>
      </c>
      <c r="V80" s="123" t="s">
        <v>48</v>
      </c>
      <c r="W80" s="2"/>
      <c r="X80" s="2"/>
      <c r="Y80" s="2"/>
      <c r="Z80" s="3"/>
      <c r="AA80" s="124"/>
    </row>
    <row r="81">
      <c r="B81" s="125"/>
      <c r="C81" s="107"/>
      <c r="D81" s="107"/>
      <c r="E81" s="107"/>
      <c r="F81" s="107"/>
      <c r="G81" s="107"/>
      <c r="H81" s="107"/>
      <c r="I81" s="114"/>
      <c r="J81" s="114"/>
      <c r="K81" s="114"/>
      <c r="L81" s="114"/>
      <c r="M81" s="114"/>
      <c r="N81" s="114"/>
      <c r="O81" s="114"/>
      <c r="P81" s="98"/>
      <c r="Q81" s="42"/>
      <c r="R81" s="43"/>
      <c r="S81" s="102"/>
      <c r="T81" s="101"/>
      <c r="U81" s="122" t="s">
        <v>95</v>
      </c>
      <c r="V81" s="123" t="s">
        <v>12</v>
      </c>
      <c r="W81" s="2"/>
      <c r="X81" s="2"/>
      <c r="Y81" s="2"/>
      <c r="Z81" s="3"/>
      <c r="AA81" s="124"/>
    </row>
    <row r="82">
      <c r="A82" s="105">
        <v>3.0</v>
      </c>
      <c r="B82" s="126" t="s">
        <v>96</v>
      </c>
      <c r="C82" s="28"/>
      <c r="D82" s="28"/>
      <c r="E82" s="28"/>
      <c r="F82" s="28"/>
      <c r="G82" s="28"/>
      <c r="H82" s="39"/>
      <c r="I82" s="114"/>
      <c r="J82" s="114"/>
      <c r="K82" s="114"/>
      <c r="L82" s="114"/>
      <c r="M82" s="114"/>
      <c r="N82" s="114"/>
      <c r="O82" s="114"/>
      <c r="P82" s="98"/>
      <c r="Q82" s="42"/>
      <c r="R82" s="43"/>
      <c r="S82" s="102"/>
      <c r="T82" s="101"/>
      <c r="U82" s="122"/>
      <c r="V82" s="127"/>
      <c r="W82" s="2"/>
      <c r="X82" s="2"/>
      <c r="Y82" s="2"/>
      <c r="Z82" s="3"/>
      <c r="AA82" s="124"/>
    </row>
    <row r="83">
      <c r="A83" s="108"/>
      <c r="B83" s="42"/>
      <c r="H83" s="43"/>
      <c r="I83" s="107"/>
      <c r="J83" s="107"/>
      <c r="K83" s="107"/>
      <c r="L83" s="114"/>
      <c r="M83" s="114"/>
      <c r="N83" s="114"/>
      <c r="O83" s="114"/>
      <c r="P83" s="98"/>
      <c r="Q83" s="44"/>
      <c r="R83" s="46"/>
      <c r="S83" s="102"/>
      <c r="T83" s="128"/>
      <c r="U83" s="129"/>
      <c r="V83" s="129"/>
      <c r="W83" s="129"/>
      <c r="X83" s="129"/>
      <c r="Y83" s="130"/>
      <c r="Z83" s="130"/>
      <c r="AA83" s="131"/>
    </row>
    <row r="84">
      <c r="A84" s="108"/>
      <c r="B84" s="44"/>
      <c r="C84" s="45"/>
      <c r="D84" s="45"/>
      <c r="E84" s="45"/>
      <c r="F84" s="45"/>
      <c r="G84" s="45"/>
      <c r="H84" s="46"/>
      <c r="I84" s="107"/>
      <c r="J84" s="107"/>
      <c r="K84" s="107"/>
      <c r="L84" s="114"/>
      <c r="M84" s="114"/>
      <c r="N84" s="114"/>
      <c r="O84" s="114"/>
      <c r="P84" s="98"/>
      <c r="S84" s="102"/>
      <c r="T84" s="102"/>
      <c r="U84" s="102"/>
      <c r="V84" s="103"/>
      <c r="W84" s="98"/>
      <c r="X84" s="98"/>
    </row>
    <row r="85">
      <c r="A85" s="108"/>
      <c r="B85" s="112"/>
      <c r="C85" s="126" t="s">
        <v>87</v>
      </c>
      <c r="D85" s="39"/>
      <c r="E85" s="107"/>
      <c r="F85" s="107"/>
      <c r="G85" s="132" t="s">
        <v>12</v>
      </c>
      <c r="H85" s="28"/>
      <c r="I85" s="28"/>
      <c r="J85" s="28"/>
      <c r="K85" s="28"/>
      <c r="L85" s="28"/>
      <c r="M85" s="28"/>
      <c r="N85" s="28"/>
      <c r="O85" s="39"/>
      <c r="P85" s="98"/>
      <c r="Q85" s="102"/>
      <c r="R85" s="102"/>
      <c r="S85" s="102"/>
      <c r="T85" s="102"/>
      <c r="U85" s="102"/>
      <c r="V85" s="103"/>
      <c r="W85" s="98"/>
      <c r="X85" s="98"/>
    </row>
    <row r="86">
      <c r="A86" s="108"/>
      <c r="B86" s="112"/>
      <c r="C86" s="42"/>
      <c r="D86" s="43"/>
      <c r="E86" s="107"/>
      <c r="F86" s="107"/>
      <c r="G86" s="42"/>
      <c r="O86" s="43"/>
      <c r="P86" s="98"/>
      <c r="Q86" s="102"/>
      <c r="R86" s="102"/>
      <c r="S86" s="102"/>
      <c r="T86" s="102"/>
      <c r="U86" s="102"/>
      <c r="V86" s="103"/>
      <c r="W86" s="98"/>
      <c r="X86" s="98"/>
    </row>
    <row r="87">
      <c r="A87" s="108"/>
      <c r="B87" s="112"/>
      <c r="C87" s="44"/>
      <c r="D87" s="46"/>
      <c r="E87" s="107"/>
      <c r="F87" s="107"/>
      <c r="G87" s="44"/>
      <c r="H87" s="45"/>
      <c r="I87" s="45"/>
      <c r="J87" s="45"/>
      <c r="K87" s="45"/>
      <c r="L87" s="45"/>
      <c r="M87" s="45"/>
      <c r="N87" s="45"/>
      <c r="O87" s="46"/>
      <c r="P87" s="98"/>
      <c r="Q87" s="102"/>
      <c r="R87" s="102"/>
      <c r="S87" s="102"/>
      <c r="T87" s="102"/>
      <c r="U87" s="102"/>
      <c r="V87" s="103"/>
      <c r="W87" s="98"/>
      <c r="X87" s="98"/>
    </row>
    <row r="88">
      <c r="A88" s="108"/>
      <c r="B88" s="126" t="s">
        <v>97</v>
      </c>
      <c r="C88" s="28"/>
      <c r="D88" s="28"/>
      <c r="E88" s="28"/>
      <c r="F88" s="28"/>
      <c r="G88" s="28"/>
      <c r="H88" s="39"/>
      <c r="I88" s="107"/>
      <c r="J88" s="107"/>
      <c r="K88" s="107"/>
      <c r="L88" s="114"/>
      <c r="M88" s="114"/>
      <c r="N88" s="114"/>
      <c r="O88" s="114"/>
      <c r="P88" s="115" t="s">
        <v>48</v>
      </c>
      <c r="Q88" s="28"/>
      <c r="R88" s="28"/>
      <c r="S88" s="28"/>
      <c r="T88" s="39"/>
      <c r="U88" s="102"/>
      <c r="V88" s="103"/>
      <c r="W88" s="98"/>
      <c r="X88" s="98"/>
    </row>
    <row r="89">
      <c r="A89" s="108"/>
      <c r="B89" s="42"/>
      <c r="H89" s="43"/>
      <c r="I89" s="107"/>
      <c r="J89" s="107"/>
      <c r="K89" s="107"/>
      <c r="L89" s="114"/>
      <c r="M89" s="114"/>
      <c r="N89" s="114"/>
      <c r="O89" s="114"/>
      <c r="P89" s="42"/>
      <c r="T89" s="43"/>
      <c r="U89" s="98"/>
      <c r="V89" s="99"/>
      <c r="W89" s="98"/>
      <c r="X89" s="98"/>
    </row>
    <row r="90">
      <c r="A90" s="116"/>
      <c r="B90" s="44"/>
      <c r="C90" s="45"/>
      <c r="D90" s="45"/>
      <c r="E90" s="45"/>
      <c r="F90" s="45"/>
      <c r="G90" s="45"/>
      <c r="H90" s="46"/>
      <c r="I90" s="107"/>
      <c r="J90" s="107"/>
      <c r="K90" s="107"/>
      <c r="L90" s="114"/>
      <c r="M90" s="114"/>
      <c r="N90" s="114"/>
      <c r="O90" s="114"/>
      <c r="P90" s="42"/>
      <c r="T90" s="43"/>
      <c r="U90" s="98"/>
      <c r="V90" s="99"/>
      <c r="W90" s="98"/>
      <c r="X90" s="98"/>
    </row>
    <row r="91">
      <c r="B91" s="112"/>
      <c r="C91" s="107"/>
      <c r="D91" s="107"/>
      <c r="E91" s="107"/>
      <c r="F91" s="107"/>
      <c r="G91" s="107"/>
      <c r="H91" s="107"/>
      <c r="I91" s="109"/>
      <c r="J91" s="109"/>
      <c r="K91" s="132" t="s">
        <v>98</v>
      </c>
      <c r="L91" s="39"/>
      <c r="M91" s="114"/>
      <c r="N91" s="114"/>
      <c r="O91" s="114"/>
      <c r="P91" s="42"/>
      <c r="T91" s="43"/>
      <c r="U91" s="98"/>
      <c r="V91" s="99"/>
      <c r="W91" s="98"/>
      <c r="X91" s="98"/>
    </row>
    <row r="92">
      <c r="B92" s="112"/>
      <c r="C92" s="107"/>
      <c r="D92" s="107"/>
      <c r="E92" s="107"/>
      <c r="F92" s="107"/>
      <c r="G92" s="107"/>
      <c r="H92" s="107"/>
      <c r="I92" s="109"/>
      <c r="J92" s="109"/>
      <c r="K92" s="42"/>
      <c r="L92" s="43"/>
      <c r="M92" s="114"/>
      <c r="N92" s="114"/>
      <c r="O92" s="114"/>
      <c r="P92" s="42"/>
      <c r="T92" s="43"/>
      <c r="U92" s="98"/>
      <c r="V92" s="99"/>
      <c r="W92" s="98"/>
      <c r="X92" s="98"/>
    </row>
    <row r="93">
      <c r="B93" s="112"/>
      <c r="C93" s="107"/>
      <c r="D93" s="107"/>
      <c r="E93" s="107"/>
      <c r="F93" s="107"/>
      <c r="G93" s="107"/>
      <c r="H93" s="107"/>
      <c r="I93" s="109"/>
      <c r="J93" s="109"/>
      <c r="K93" s="44"/>
      <c r="L93" s="46"/>
      <c r="M93" s="114"/>
      <c r="N93" s="114"/>
      <c r="O93" s="114"/>
      <c r="P93" s="42"/>
      <c r="T93" s="43"/>
      <c r="U93" s="98"/>
      <c r="V93" s="99"/>
      <c r="W93" s="98"/>
      <c r="X93" s="98"/>
    </row>
    <row r="94">
      <c r="A94" s="105">
        <v>4.0</v>
      </c>
      <c r="B94" s="133" t="s">
        <v>99</v>
      </c>
      <c r="C94" s="28"/>
      <c r="D94" s="28"/>
      <c r="E94" s="28"/>
      <c r="F94" s="28"/>
      <c r="G94" s="28"/>
      <c r="H94" s="39"/>
      <c r="I94" s="107"/>
      <c r="J94" s="107"/>
      <c r="K94" s="107"/>
      <c r="L94" s="114"/>
      <c r="M94" s="114"/>
      <c r="N94" s="114"/>
      <c r="O94" s="114"/>
      <c r="P94" s="42"/>
      <c r="T94" s="43"/>
      <c r="U94" s="98"/>
      <c r="V94" s="99"/>
      <c r="W94" s="98"/>
      <c r="X94" s="98"/>
    </row>
    <row r="95">
      <c r="A95" s="108"/>
      <c r="B95" s="42"/>
      <c r="H95" s="43"/>
      <c r="I95" s="107"/>
      <c r="J95" s="107"/>
      <c r="K95" s="107"/>
      <c r="L95" s="114"/>
      <c r="M95" s="114"/>
      <c r="N95" s="114"/>
      <c r="O95" s="114"/>
      <c r="P95" s="42"/>
      <c r="T95" s="43"/>
      <c r="U95" s="98"/>
      <c r="V95" s="99"/>
      <c r="W95" s="98"/>
      <c r="X95" s="98"/>
    </row>
    <row r="96">
      <c r="A96" s="108"/>
      <c r="B96" s="44"/>
      <c r="C96" s="45"/>
      <c r="D96" s="45"/>
      <c r="E96" s="45"/>
      <c r="F96" s="45"/>
      <c r="G96" s="45"/>
      <c r="H96" s="46"/>
      <c r="I96" s="107"/>
      <c r="J96" s="107"/>
      <c r="K96" s="107"/>
      <c r="L96" s="114"/>
      <c r="M96" s="114"/>
      <c r="N96" s="114"/>
      <c r="O96" s="114"/>
      <c r="P96" s="44"/>
      <c r="Q96" s="45"/>
      <c r="R96" s="45"/>
      <c r="S96" s="45"/>
      <c r="T96" s="46"/>
      <c r="U96" s="98"/>
      <c r="V96" s="99"/>
      <c r="W96" s="98"/>
      <c r="X96" s="98"/>
    </row>
    <row r="97">
      <c r="A97" s="108"/>
      <c r="B97" s="112"/>
      <c r="C97" s="133" t="s">
        <v>98</v>
      </c>
      <c r="D97" s="39"/>
      <c r="E97" s="107"/>
      <c r="F97" s="107"/>
      <c r="G97" s="132" t="s">
        <v>48</v>
      </c>
      <c r="H97" s="28"/>
      <c r="I97" s="28"/>
      <c r="J97" s="28"/>
      <c r="K97" s="28"/>
      <c r="L97" s="28"/>
      <c r="M97" s="28"/>
      <c r="N97" s="28"/>
      <c r="O97" s="39"/>
      <c r="P97" s="102"/>
      <c r="Q97" s="102"/>
      <c r="R97" s="98"/>
      <c r="S97" s="98"/>
      <c r="T97" s="98"/>
      <c r="U97" s="98"/>
      <c r="V97" s="99"/>
      <c r="W97" s="98"/>
      <c r="X97" s="98"/>
    </row>
    <row r="98">
      <c r="A98" s="108"/>
      <c r="B98" s="112"/>
      <c r="C98" s="42"/>
      <c r="D98" s="43"/>
      <c r="E98" s="107"/>
      <c r="F98" s="107"/>
      <c r="G98" s="42"/>
      <c r="O98" s="43"/>
      <c r="P98" s="102"/>
      <c r="Q98" s="102"/>
      <c r="R98" s="102"/>
      <c r="S98" s="102"/>
      <c r="T98" s="102"/>
      <c r="U98" s="102"/>
      <c r="V98" s="103"/>
      <c r="W98" s="98"/>
      <c r="X98" s="98"/>
    </row>
    <row r="99">
      <c r="A99" s="108"/>
      <c r="B99" s="112"/>
      <c r="C99" s="44"/>
      <c r="D99" s="46"/>
      <c r="E99" s="107"/>
      <c r="F99" s="107"/>
      <c r="G99" s="44"/>
      <c r="H99" s="45"/>
      <c r="I99" s="45"/>
      <c r="J99" s="45"/>
      <c r="K99" s="45"/>
      <c r="L99" s="45"/>
      <c r="M99" s="45"/>
      <c r="N99" s="45"/>
      <c r="O99" s="46"/>
      <c r="P99" s="102"/>
      <c r="Q99" s="102"/>
      <c r="R99" s="102"/>
      <c r="S99" s="102"/>
      <c r="T99" s="102"/>
      <c r="U99" s="102"/>
      <c r="V99" s="103"/>
      <c r="W99" s="98"/>
      <c r="X99" s="98"/>
    </row>
    <row r="100">
      <c r="A100" s="108"/>
      <c r="B100" s="133" t="s">
        <v>100</v>
      </c>
      <c r="C100" s="28"/>
      <c r="D100" s="28"/>
      <c r="E100" s="28"/>
      <c r="F100" s="28"/>
      <c r="G100" s="28"/>
      <c r="H100" s="39"/>
      <c r="I100" s="107"/>
      <c r="J100" s="107"/>
      <c r="K100" s="107"/>
      <c r="L100" s="107"/>
      <c r="M100" s="107"/>
      <c r="N100" s="107"/>
      <c r="O100" s="107"/>
      <c r="P100" s="102"/>
      <c r="Q100" s="102"/>
      <c r="R100" s="102"/>
      <c r="S100" s="102"/>
      <c r="T100" s="102"/>
      <c r="U100" s="102"/>
      <c r="V100" s="103"/>
      <c r="W100" s="98"/>
      <c r="X100" s="98"/>
    </row>
    <row r="101">
      <c r="A101" s="108"/>
      <c r="B101" s="42"/>
      <c r="H101" s="43"/>
      <c r="I101" s="107"/>
      <c r="J101" s="107"/>
      <c r="K101" s="107"/>
      <c r="L101" s="107"/>
      <c r="M101" s="107"/>
      <c r="N101" s="107"/>
      <c r="O101" s="107"/>
      <c r="P101" s="102"/>
      <c r="Q101" s="102"/>
      <c r="R101" s="102"/>
      <c r="S101" s="102"/>
      <c r="T101" s="102"/>
      <c r="U101" s="102"/>
      <c r="V101" s="103"/>
      <c r="W101" s="98"/>
      <c r="X101" s="98"/>
    </row>
    <row r="102">
      <c r="A102" s="116"/>
      <c r="B102" s="44"/>
      <c r="C102" s="45"/>
      <c r="D102" s="45"/>
      <c r="E102" s="45"/>
      <c r="F102" s="45"/>
      <c r="G102" s="45"/>
      <c r="H102" s="46"/>
      <c r="I102" s="107"/>
      <c r="J102" s="107"/>
      <c r="K102" s="107"/>
      <c r="L102" s="107"/>
      <c r="M102" s="107"/>
      <c r="N102" s="107"/>
      <c r="O102" s="107"/>
      <c r="P102" s="102"/>
      <c r="Q102" s="102"/>
      <c r="R102" s="102"/>
      <c r="S102" s="98"/>
      <c r="T102" s="98"/>
      <c r="U102" s="102"/>
      <c r="V102" s="103"/>
      <c r="W102" s="98"/>
      <c r="X102" s="98"/>
    </row>
    <row r="103">
      <c r="B103" s="101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98"/>
      <c r="T103" s="98"/>
      <c r="U103" s="102"/>
      <c r="V103" s="103"/>
      <c r="W103" s="98"/>
      <c r="X103" s="98"/>
    </row>
    <row r="104">
      <c r="B104" s="101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98"/>
      <c r="T104" s="98"/>
      <c r="U104" s="102"/>
      <c r="V104" s="103"/>
      <c r="W104" s="98"/>
      <c r="X104" s="98"/>
    </row>
    <row r="105">
      <c r="B105" s="128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34"/>
      <c r="T105" s="134"/>
      <c r="U105" s="129"/>
      <c r="V105" s="135"/>
      <c r="W105" s="98"/>
      <c r="X105" s="98"/>
    </row>
    <row r="106">
      <c r="R106" s="23"/>
      <c r="U106" s="23"/>
      <c r="V106" s="23"/>
    </row>
    <row r="107">
      <c r="R107" s="23"/>
      <c r="U107" s="23"/>
      <c r="V107" s="23"/>
    </row>
    <row r="108">
      <c r="L108" s="136" t="s">
        <v>63</v>
      </c>
      <c r="M108" s="28"/>
      <c r="N108" s="28"/>
      <c r="O108" s="28"/>
      <c r="P108" s="28"/>
      <c r="Q108" s="28"/>
      <c r="R108" s="28"/>
      <c r="S108" s="28"/>
      <c r="T108" s="39"/>
      <c r="U108" s="23"/>
      <c r="V108" s="23"/>
    </row>
    <row r="109">
      <c r="L109" s="42"/>
      <c r="T109" s="43"/>
      <c r="U109" s="23"/>
      <c r="V109" s="23"/>
    </row>
    <row r="110">
      <c r="L110" s="44"/>
      <c r="M110" s="45"/>
      <c r="N110" s="45"/>
      <c r="O110" s="45"/>
      <c r="P110" s="45"/>
      <c r="Q110" s="45"/>
      <c r="R110" s="45"/>
      <c r="S110" s="45"/>
      <c r="T110" s="46"/>
      <c r="U110" s="23"/>
      <c r="V110" s="23"/>
    </row>
    <row r="111">
      <c r="P111" s="137" t="s">
        <v>101</v>
      </c>
      <c r="T111" s="138"/>
      <c r="U111" s="23"/>
      <c r="V111" s="23"/>
    </row>
    <row r="112">
      <c r="T112" s="23"/>
      <c r="U112" s="23"/>
      <c r="V112" s="23"/>
    </row>
    <row r="113">
      <c r="L113" s="136" t="s">
        <v>12</v>
      </c>
      <c r="M113" s="28"/>
      <c r="N113" s="28"/>
      <c r="O113" s="28"/>
      <c r="P113" s="28"/>
      <c r="Q113" s="28"/>
      <c r="R113" s="28"/>
      <c r="S113" s="28"/>
      <c r="T113" s="39"/>
    </row>
    <row r="114">
      <c r="L114" s="42"/>
      <c r="T114" s="43"/>
    </row>
    <row r="115">
      <c r="L115" s="44"/>
      <c r="M115" s="45"/>
      <c r="N115" s="45"/>
      <c r="O115" s="45"/>
      <c r="P115" s="45"/>
      <c r="Q115" s="45"/>
      <c r="R115" s="45"/>
      <c r="S115" s="45"/>
      <c r="T115" s="46"/>
    </row>
  </sheetData>
  <mergeCells count="176">
    <mergeCell ref="R3:S3"/>
    <mergeCell ref="R4:S4"/>
    <mergeCell ref="R5:S5"/>
    <mergeCell ref="R6:S6"/>
    <mergeCell ref="R7:S7"/>
    <mergeCell ref="Q8:AD8"/>
    <mergeCell ref="A1:N1"/>
    <mergeCell ref="Q1:AD1"/>
    <mergeCell ref="D2:G2"/>
    <mergeCell ref="H2:K2"/>
    <mergeCell ref="R2:S2"/>
    <mergeCell ref="T2:W2"/>
    <mergeCell ref="X2:AA2"/>
    <mergeCell ref="C9:D9"/>
    <mergeCell ref="E9:G9"/>
    <mergeCell ref="H9:N9"/>
    <mergeCell ref="S9:T9"/>
    <mergeCell ref="U9:W9"/>
    <mergeCell ref="X9:AD9"/>
    <mergeCell ref="B2:C2"/>
    <mergeCell ref="B3:C3"/>
    <mergeCell ref="B4:C4"/>
    <mergeCell ref="B5:C5"/>
    <mergeCell ref="B6:C6"/>
    <mergeCell ref="B7:C7"/>
    <mergeCell ref="A8:N8"/>
    <mergeCell ref="C10:D10"/>
    <mergeCell ref="H10:N10"/>
    <mergeCell ref="S10:T10"/>
    <mergeCell ref="X10:AD10"/>
    <mergeCell ref="H11:N11"/>
    <mergeCell ref="S11:T11"/>
    <mergeCell ref="X11:AD11"/>
    <mergeCell ref="X12:AD12"/>
    <mergeCell ref="X13:AD13"/>
    <mergeCell ref="X14:AD14"/>
    <mergeCell ref="X15:AD15"/>
    <mergeCell ref="C14:D14"/>
    <mergeCell ref="C15:D15"/>
    <mergeCell ref="H15:N15"/>
    <mergeCell ref="S15:T15"/>
    <mergeCell ref="X37:AD37"/>
    <mergeCell ref="X38:AD38"/>
    <mergeCell ref="S34:T34"/>
    <mergeCell ref="S35:T35"/>
    <mergeCell ref="X35:AD35"/>
    <mergeCell ref="S36:T36"/>
    <mergeCell ref="X36:AD36"/>
    <mergeCell ref="S37:T37"/>
    <mergeCell ref="S38:T38"/>
    <mergeCell ref="S42:T42"/>
    <mergeCell ref="S43:T43"/>
    <mergeCell ref="Q44:R44"/>
    <mergeCell ref="Q45:R45"/>
    <mergeCell ref="Q46:R46"/>
    <mergeCell ref="X43:AD43"/>
    <mergeCell ref="S44:AD44"/>
    <mergeCell ref="S45:AD45"/>
    <mergeCell ref="S46:AD46"/>
    <mergeCell ref="S39:T39"/>
    <mergeCell ref="X39:AD39"/>
    <mergeCell ref="S40:T40"/>
    <mergeCell ref="X40:AD40"/>
    <mergeCell ref="S41:T41"/>
    <mergeCell ref="X41:AD41"/>
    <mergeCell ref="X42:AD42"/>
    <mergeCell ref="C11:D11"/>
    <mergeCell ref="C12:D12"/>
    <mergeCell ref="H12:N12"/>
    <mergeCell ref="S12:T12"/>
    <mergeCell ref="C13:D13"/>
    <mergeCell ref="S13:T13"/>
    <mergeCell ref="S14:T14"/>
    <mergeCell ref="H13:N13"/>
    <mergeCell ref="H14:N14"/>
    <mergeCell ref="A16:N19"/>
    <mergeCell ref="Q16:AD19"/>
    <mergeCell ref="C20:N20"/>
    <mergeCell ref="Q20:R20"/>
    <mergeCell ref="S20:AD20"/>
    <mergeCell ref="Q22:R22"/>
    <mergeCell ref="S22:AD22"/>
    <mergeCell ref="A20:B20"/>
    <mergeCell ref="A21:B21"/>
    <mergeCell ref="C21:N21"/>
    <mergeCell ref="Q21:R21"/>
    <mergeCell ref="S21:AD21"/>
    <mergeCell ref="A22:B22"/>
    <mergeCell ref="C22:N22"/>
    <mergeCell ref="R27:S27"/>
    <mergeCell ref="R28:S28"/>
    <mergeCell ref="R29:S29"/>
    <mergeCell ref="R30:S30"/>
    <mergeCell ref="R31:S31"/>
    <mergeCell ref="Q32:AD32"/>
    <mergeCell ref="A25:N25"/>
    <mergeCell ref="Q25:AD25"/>
    <mergeCell ref="D26:G26"/>
    <mergeCell ref="H26:K26"/>
    <mergeCell ref="R26:S26"/>
    <mergeCell ref="T26:W26"/>
    <mergeCell ref="X26:AA26"/>
    <mergeCell ref="C33:D33"/>
    <mergeCell ref="E33:G33"/>
    <mergeCell ref="H33:N33"/>
    <mergeCell ref="S33:T33"/>
    <mergeCell ref="U33:W33"/>
    <mergeCell ref="X33:AD33"/>
    <mergeCell ref="X34:AD34"/>
    <mergeCell ref="V80:Z80"/>
    <mergeCell ref="V81:Z81"/>
    <mergeCell ref="B76:H78"/>
    <mergeCell ref="B82:H84"/>
    <mergeCell ref="C73:D75"/>
    <mergeCell ref="C85:D87"/>
    <mergeCell ref="A94:A102"/>
    <mergeCell ref="C97:D99"/>
    <mergeCell ref="B70:H72"/>
    <mergeCell ref="G73:O75"/>
    <mergeCell ref="Q77:R83"/>
    <mergeCell ref="V78:Z78"/>
    <mergeCell ref="V79:Z79"/>
    <mergeCell ref="A82:A90"/>
    <mergeCell ref="V82:Z82"/>
    <mergeCell ref="L108:T110"/>
    <mergeCell ref="P111:S112"/>
    <mergeCell ref="L113:T115"/>
    <mergeCell ref="G85:O87"/>
    <mergeCell ref="B88:H90"/>
    <mergeCell ref="P88:T96"/>
    <mergeCell ref="K91:L93"/>
    <mergeCell ref="B94:H96"/>
    <mergeCell ref="G97:O99"/>
    <mergeCell ref="B100:H102"/>
    <mergeCell ref="B26:C26"/>
    <mergeCell ref="B27:C27"/>
    <mergeCell ref="B28:C28"/>
    <mergeCell ref="B29:C29"/>
    <mergeCell ref="B30:C30"/>
    <mergeCell ref="B31:C31"/>
    <mergeCell ref="A32:N32"/>
    <mergeCell ref="C34:D34"/>
    <mergeCell ref="H34:N34"/>
    <mergeCell ref="C35:D35"/>
    <mergeCell ref="H35:N35"/>
    <mergeCell ref="C36:D36"/>
    <mergeCell ref="H36:N36"/>
    <mergeCell ref="H37:N37"/>
    <mergeCell ref="H38:N38"/>
    <mergeCell ref="H39:N39"/>
    <mergeCell ref="A40:N43"/>
    <mergeCell ref="A44:B44"/>
    <mergeCell ref="C44:N44"/>
    <mergeCell ref="A45:B45"/>
    <mergeCell ref="C45:N45"/>
    <mergeCell ref="K59:M59"/>
    <mergeCell ref="R60:S62"/>
    <mergeCell ref="G61:O63"/>
    <mergeCell ref="P64:T72"/>
    <mergeCell ref="K67:L69"/>
    <mergeCell ref="A46:B46"/>
    <mergeCell ref="C46:N46"/>
    <mergeCell ref="F48:I51"/>
    <mergeCell ref="J48:O48"/>
    <mergeCell ref="J49:O49"/>
    <mergeCell ref="J50:O50"/>
    <mergeCell ref="J51:O51"/>
    <mergeCell ref="A58:A66"/>
    <mergeCell ref="A70:A78"/>
    <mergeCell ref="C37:D37"/>
    <mergeCell ref="C38:D38"/>
    <mergeCell ref="C39:D39"/>
    <mergeCell ref="C55:F56"/>
    <mergeCell ref="B58:H60"/>
    <mergeCell ref="C61:D63"/>
    <mergeCell ref="B64:H66"/>
  </mergeCells>
  <drawing r:id="rId1"/>
</worksheet>
</file>